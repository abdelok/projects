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bderrahmane\Dropbox\PC\Downloads\PROFESSION  AI\PROGETTI\"/>
    </mc:Choice>
  </mc:AlternateContent>
  <xr:revisionPtr revIDLastSave="0" documentId="13_ncr:1_{6CF418D4-9549-47B4-81A2-C9EC15D8D8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y trades" sheetId="1" r:id="rId1"/>
    <sheet name="Stock Exchanges" sheetId="13" r:id="rId2"/>
    <sheet name="Profit Insights" sheetId="8" r:id="rId3"/>
    <sheet name="Number of Trades Exchanged" sheetId="11" r:id="rId4"/>
  </sheets>
  <definedNames>
    <definedName name="_xlchart.v1.0" hidden="1">'Profit Insights'!$B$1</definedName>
    <definedName name="_xlchart.v1.1" hidden="1">'Profit Insights'!$B$2:$B$204</definedName>
    <definedName name="_xlchart.v1.2" hidden="1">'Profit Insights'!$B$1</definedName>
    <definedName name="_xlchart.v1.3" hidden="1">'Profit Insights'!$B$2:$B$204</definedName>
  </definedNames>
  <calcPr calcId="191028"/>
  <pivotCaches>
    <pivotCache cacheId="2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3" l="1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" i="13"/>
  <c r="B6" i="11" a="1"/>
  <c r="B6" i="11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3" i="8"/>
  <c r="B4" i="8"/>
  <c r="B5" i="8"/>
  <c r="B6" i="8"/>
  <c r="B7" i="8"/>
  <c r="B8" i="8"/>
  <c r="B2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2" i="8"/>
  <c r="L10" i="11" l="1"/>
  <c r="C22" i="11"/>
  <c r="D22" i="11"/>
  <c r="D14" i="11"/>
  <c r="E14" i="11"/>
  <c r="C18" i="11"/>
  <c r="C10" i="11"/>
  <c r="D18" i="11"/>
  <c r="D10" i="11"/>
  <c r="E18" i="11"/>
  <c r="E10" i="11"/>
  <c r="F18" i="11"/>
  <c r="F10" i="11"/>
  <c r="G18" i="11"/>
  <c r="G10" i="11"/>
  <c r="H18" i="11"/>
  <c r="H10" i="11"/>
  <c r="I18" i="11"/>
  <c r="I10" i="11"/>
  <c r="J18" i="11"/>
  <c r="J10" i="11"/>
  <c r="K18" i="11"/>
  <c r="K10" i="11"/>
  <c r="L18" i="11"/>
  <c r="C17" i="11"/>
  <c r="C9" i="11"/>
  <c r="D17" i="11"/>
  <c r="D9" i="11"/>
  <c r="E17" i="11"/>
  <c r="E9" i="11"/>
  <c r="F17" i="11"/>
  <c r="F9" i="11"/>
  <c r="G17" i="11"/>
  <c r="G9" i="11"/>
  <c r="H17" i="11"/>
  <c r="H9" i="11"/>
  <c r="I17" i="11"/>
  <c r="I9" i="11"/>
  <c r="J17" i="11"/>
  <c r="J9" i="11"/>
  <c r="K17" i="11"/>
  <c r="K9" i="11"/>
  <c r="L17" i="11"/>
  <c r="L9" i="11"/>
  <c r="L8" i="11"/>
  <c r="C14" i="11"/>
  <c r="E22" i="11"/>
  <c r="C16" i="11"/>
  <c r="C8" i="11"/>
  <c r="D16" i="11"/>
  <c r="D8" i="11"/>
  <c r="E16" i="11"/>
  <c r="E8" i="11"/>
  <c r="F16" i="11"/>
  <c r="F8" i="11"/>
  <c r="G16" i="11"/>
  <c r="G8" i="11"/>
  <c r="H16" i="11"/>
  <c r="H8" i="11"/>
  <c r="I16" i="11"/>
  <c r="I8" i="11"/>
  <c r="J16" i="11"/>
  <c r="J8" i="11"/>
  <c r="K16" i="11"/>
  <c r="K8" i="11"/>
  <c r="L16" i="11"/>
  <c r="C15" i="11"/>
  <c r="C7" i="11"/>
  <c r="D15" i="11"/>
  <c r="D7" i="11"/>
  <c r="E15" i="11"/>
  <c r="E7" i="11"/>
  <c r="F15" i="11"/>
  <c r="F7" i="11"/>
  <c r="G15" i="11"/>
  <c r="G7" i="11"/>
  <c r="H15" i="11"/>
  <c r="H7" i="11"/>
  <c r="I15" i="11"/>
  <c r="I7" i="11"/>
  <c r="J15" i="11"/>
  <c r="J7" i="11"/>
  <c r="K15" i="11"/>
  <c r="K7" i="11"/>
  <c r="L15" i="11"/>
  <c r="L7" i="11"/>
  <c r="F22" i="11"/>
  <c r="F14" i="11"/>
  <c r="G22" i="11"/>
  <c r="G14" i="11"/>
  <c r="H22" i="11"/>
  <c r="H14" i="11"/>
  <c r="I22" i="11"/>
  <c r="I14" i="11"/>
  <c r="J22" i="11"/>
  <c r="J14" i="11"/>
  <c r="K22" i="11"/>
  <c r="K14" i="11"/>
  <c r="L22" i="11"/>
  <c r="L14" i="11"/>
  <c r="C21" i="11"/>
  <c r="C13" i="11"/>
  <c r="D21" i="11"/>
  <c r="D13" i="11"/>
  <c r="E21" i="11"/>
  <c r="E13" i="11"/>
  <c r="F21" i="11"/>
  <c r="F13" i="11"/>
  <c r="G21" i="11"/>
  <c r="G13" i="11"/>
  <c r="H21" i="11"/>
  <c r="H13" i="11"/>
  <c r="I21" i="11"/>
  <c r="I13" i="11"/>
  <c r="J21" i="11"/>
  <c r="J13" i="11"/>
  <c r="K21" i="11"/>
  <c r="K13" i="11"/>
  <c r="L21" i="11"/>
  <c r="L13" i="11"/>
  <c r="C20" i="11"/>
  <c r="C12" i="11"/>
  <c r="D20" i="11"/>
  <c r="D12" i="11"/>
  <c r="E20" i="11"/>
  <c r="E12" i="11"/>
  <c r="F20" i="11"/>
  <c r="F12" i="11"/>
  <c r="G20" i="11"/>
  <c r="G12" i="11"/>
  <c r="H20" i="11"/>
  <c r="H12" i="11"/>
  <c r="I20" i="11"/>
  <c r="I12" i="11"/>
  <c r="J20" i="11"/>
  <c r="J12" i="11"/>
  <c r="K20" i="11"/>
  <c r="K12" i="11"/>
  <c r="L20" i="11"/>
  <c r="L12" i="11"/>
  <c r="C19" i="11"/>
  <c r="C11" i="11"/>
  <c r="D19" i="11"/>
  <c r="D11" i="11"/>
  <c r="E19" i="11"/>
  <c r="E11" i="11"/>
  <c r="F19" i="11"/>
  <c r="F11" i="11"/>
  <c r="G19" i="11"/>
  <c r="G11" i="11"/>
  <c r="H19" i="11"/>
  <c r="H11" i="11"/>
  <c r="I19" i="11"/>
  <c r="I11" i="11"/>
  <c r="J19" i="11"/>
  <c r="J11" i="11"/>
  <c r="K19" i="11"/>
  <c r="K11" i="11"/>
  <c r="L19" i="11"/>
  <c r="L11" i="11"/>
  <c r="M16" i="11"/>
  <c r="J6" i="11"/>
  <c r="I6" i="11"/>
  <c r="H6" i="11"/>
  <c r="H23" i="11" s="1"/>
  <c r="G6" i="11"/>
  <c r="F6" i="11"/>
  <c r="E6" i="11"/>
  <c r="C6" i="11"/>
  <c r="L6" i="11"/>
  <c r="L23" i="11" s="1"/>
  <c r="D6" i="11"/>
  <c r="K6" i="11"/>
  <c r="G23" i="11" l="1"/>
  <c r="M10" i="11"/>
  <c r="E23" i="11"/>
  <c r="F23" i="11"/>
  <c r="M11" i="11"/>
  <c r="M13" i="11"/>
  <c r="M14" i="11"/>
  <c r="M18" i="11"/>
  <c r="M21" i="11"/>
  <c r="M19" i="11"/>
  <c r="M7" i="11"/>
  <c r="K23" i="11"/>
  <c r="I23" i="11"/>
  <c r="M15" i="11"/>
  <c r="D23" i="11"/>
  <c r="J23" i="11"/>
  <c r="M12" i="11"/>
  <c r="T33" i="11" s="1"/>
  <c r="M9" i="11"/>
  <c r="M22" i="11"/>
  <c r="M20" i="11"/>
  <c r="M8" i="11"/>
  <c r="M17" i="11"/>
  <c r="M6" i="11"/>
  <c r="C23" i="11"/>
  <c r="M23" i="11" l="1"/>
  <c r="T27" i="11" s="1"/>
  <c r="T34" i="1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<sst xmlns="http://schemas.openxmlformats.org/spreadsheetml/2006/main" count="668" uniqueCount="263">
  <si>
    <t>Trade</t>
  </si>
  <si>
    <t>Stock exchange</t>
  </si>
  <si>
    <t>Region</t>
  </si>
  <si>
    <t>Date added</t>
  </si>
  <si>
    <t>Quantity</t>
  </si>
  <si>
    <t>Buy Price</t>
  </si>
  <si>
    <t>Date sold</t>
  </si>
  <si>
    <t>Sell Price</t>
  </si>
  <si>
    <t>agfgcfxt</t>
  </si>
  <si>
    <t>Bombay Stock Exchange</t>
  </si>
  <si>
    <t>India</t>
  </si>
  <si>
    <t>aieoltom</t>
  </si>
  <si>
    <t>Tehran Stock Exchange</t>
  </si>
  <si>
    <t>Iran</t>
  </si>
  <si>
    <t>almuieaq</t>
  </si>
  <si>
    <t>National Stock Exchange</t>
  </si>
  <si>
    <t>apxkynfx</t>
  </si>
  <si>
    <t>SIX Swiss Exchange</t>
  </si>
  <si>
    <t>Switzerland</t>
  </si>
  <si>
    <t>bbjeprsq</t>
  </si>
  <si>
    <t>bcizkhng</t>
  </si>
  <si>
    <t>Euronext</t>
  </si>
  <si>
    <t>Europe</t>
  </si>
  <si>
    <t>bdkloegq</t>
  </si>
  <si>
    <t>Korea Exchange</t>
  </si>
  <si>
    <t>South Korea</t>
  </si>
  <si>
    <t>beszhcyh</t>
  </si>
  <si>
    <t>Johannesburg Stock Exchange</t>
  </si>
  <si>
    <t>South Africa</t>
  </si>
  <si>
    <t>bjfxoyxb</t>
  </si>
  <si>
    <t>Toronto Stock Exchange</t>
  </si>
  <si>
    <t>Canada</t>
  </si>
  <si>
    <t>bpjmrhjo</t>
  </si>
  <si>
    <t>brxwzrct</t>
  </si>
  <si>
    <t>Deutsche Börse AG</t>
  </si>
  <si>
    <t>Germany</t>
  </si>
  <si>
    <t>bumcnvke</t>
  </si>
  <si>
    <t>cesjzpbs</t>
  </si>
  <si>
    <t>cetffxgx</t>
  </si>
  <si>
    <t>Saudi Stock Exchange (Tadawul)</t>
  </si>
  <si>
    <t>Saudi Arabia</t>
  </si>
  <si>
    <t>chhqshvn</t>
  </si>
  <si>
    <t>ciykrilb</t>
  </si>
  <si>
    <t>Japan Exchange Group</t>
  </si>
  <si>
    <t>Japan</t>
  </si>
  <si>
    <t>cnitsbpk</t>
  </si>
  <si>
    <t>Hong Kong Stock Exchange</t>
  </si>
  <si>
    <t>Hong Kong</t>
  </si>
  <si>
    <t>cntrbotn</t>
  </si>
  <si>
    <t>Shanghai Stock Exchange</t>
  </si>
  <si>
    <t>China</t>
  </si>
  <si>
    <t>cwuqczya</t>
  </si>
  <si>
    <t>cymioqte</t>
  </si>
  <si>
    <t>dcnexoao</t>
  </si>
  <si>
    <t>London Stock Exchange</t>
  </si>
  <si>
    <t>United Kingdom</t>
  </si>
  <si>
    <t>dcplrgaa</t>
  </si>
  <si>
    <t>dieionnl</t>
  </si>
  <si>
    <t>B3 Brasil Bolsa Balcão</t>
  </si>
  <si>
    <t>Brazil</t>
  </si>
  <si>
    <t>dlgsjszn</t>
  </si>
  <si>
    <t>Nasdaq</t>
  </si>
  <si>
    <t>United States</t>
  </si>
  <si>
    <t>dpaxyvrx</t>
  </si>
  <si>
    <t>dspetbsq</t>
  </si>
  <si>
    <t>ebkkmqbi</t>
  </si>
  <si>
    <t>egvfikiy</t>
  </si>
  <si>
    <t>eknpqcge</t>
  </si>
  <si>
    <t>ekteqlhb</t>
  </si>
  <si>
    <t>emjmheht</t>
  </si>
  <si>
    <t>eodhevfz</t>
  </si>
  <si>
    <t>Shenzhen Stock Exchange</t>
  </si>
  <si>
    <t>ewzlrcco</t>
  </si>
  <si>
    <t>Taiwan Stock Exchange</t>
  </si>
  <si>
    <t>Taiwan</t>
  </si>
  <si>
    <t>fenldjbq</t>
  </si>
  <si>
    <t>fipcayvv</t>
  </si>
  <si>
    <t>fjcdzhde</t>
  </si>
  <si>
    <t>fjhbimle</t>
  </si>
  <si>
    <t>fkgjitio</t>
  </si>
  <si>
    <t>frlnnmpc</t>
  </si>
  <si>
    <t>New York Stock Exchange</t>
  </si>
  <si>
    <t>fucpzbpk</t>
  </si>
  <si>
    <t>fzpkolfu</t>
  </si>
  <si>
    <t>gcndrwci</t>
  </si>
  <si>
    <t>gfiuzniq</t>
  </si>
  <si>
    <t>giuqiukz</t>
  </si>
  <si>
    <t>gnghjpok</t>
  </si>
  <si>
    <t>goxmkirb</t>
  </si>
  <si>
    <t>gsarsxnf</t>
  </si>
  <si>
    <t>hafqyymf</t>
  </si>
  <si>
    <t>hdpggnqd</t>
  </si>
  <si>
    <t>hdslpwul</t>
  </si>
  <si>
    <t>heuzjzpi</t>
  </si>
  <si>
    <t>hfdavabb</t>
  </si>
  <si>
    <t>hfjghpbq</t>
  </si>
  <si>
    <t>hflsqchs</t>
  </si>
  <si>
    <t>hfwtmipz</t>
  </si>
  <si>
    <t>hkesgmfj</t>
  </si>
  <si>
    <t>hmtiybmi</t>
  </si>
  <si>
    <t>hnmvqkxv</t>
  </si>
  <si>
    <t>hpvfzslv</t>
  </si>
  <si>
    <t>hrfilyua</t>
  </si>
  <si>
    <t>Australian Securities Exchange</t>
  </si>
  <si>
    <t>Australia</t>
  </si>
  <si>
    <t>hutszssu</t>
  </si>
  <si>
    <t>iagrfath</t>
  </si>
  <si>
    <t>icbmbfqb</t>
  </si>
  <si>
    <t>icgddrqk</t>
  </si>
  <si>
    <t>ifomvwpk</t>
  </si>
  <si>
    <t>ifskxsgr</t>
  </si>
  <si>
    <t>ivnpgban</t>
  </si>
  <si>
    <t>iztdnkqz</t>
  </si>
  <si>
    <t>jarhgmub</t>
  </si>
  <si>
    <t>jgrpnvil</t>
  </si>
  <si>
    <t>jhrvrggo</t>
  </si>
  <si>
    <t>jszxcuxx</t>
  </si>
  <si>
    <t>jvcllvko</t>
  </si>
  <si>
    <t>jxgqnvpx</t>
  </si>
  <si>
    <t>jyrrbwon</t>
  </si>
  <si>
    <t>kcqqvvon</t>
  </si>
  <si>
    <t>kdxpqsjj</t>
  </si>
  <si>
    <t>kltxxoqv</t>
  </si>
  <si>
    <t>kmlcsefq</t>
  </si>
  <si>
    <t>knifvikn</t>
  </si>
  <si>
    <t>knrhgdai</t>
  </si>
  <si>
    <t>koqfbdwf</t>
  </si>
  <si>
    <t>kpoujdyl</t>
  </si>
  <si>
    <t>kqbdcljv</t>
  </si>
  <si>
    <t>Nasdaq Nordic and Baltic Exchanges</t>
  </si>
  <si>
    <t>krqkwnaw</t>
  </si>
  <si>
    <t>kwbxqlin</t>
  </si>
  <si>
    <t>kweyaukr</t>
  </si>
  <si>
    <t>ldjllwvy</t>
  </si>
  <si>
    <t>lenpuaop</t>
  </si>
  <si>
    <t>lkxgzzvq</t>
  </si>
  <si>
    <t>loffykcg</t>
  </si>
  <si>
    <t>lpzjhtkm</t>
  </si>
  <si>
    <t>maizvkuo</t>
  </si>
  <si>
    <t>mfdlyjqb</t>
  </si>
  <si>
    <t>mfwvjgje</t>
  </si>
  <si>
    <t>mghfyjbr</t>
  </si>
  <si>
    <t>mjbwcafl</t>
  </si>
  <si>
    <t>mjyuxzvj</t>
  </si>
  <si>
    <t>mkxkerbr</t>
  </si>
  <si>
    <t>mxmztjnk</t>
  </si>
  <si>
    <t>mxpzparg</t>
  </si>
  <si>
    <t>nheepbxg</t>
  </si>
  <si>
    <t>njxhycea</t>
  </si>
  <si>
    <t>nklszbdc</t>
  </si>
  <si>
    <t>nqgoiuik</t>
  </si>
  <si>
    <t>nriklgrf</t>
  </si>
  <si>
    <t>nuleyiit</t>
  </si>
  <si>
    <t>nzyednpn</t>
  </si>
  <si>
    <t>ogszgnpm</t>
  </si>
  <si>
    <t>ohtzxhrm</t>
  </si>
  <si>
    <t>olnjegug</t>
  </si>
  <si>
    <t>oplgqwal</t>
  </si>
  <si>
    <t>orgnwenh</t>
  </si>
  <si>
    <t>ossshndu</t>
  </si>
  <si>
    <t>pberstsl</t>
  </si>
  <si>
    <t>pcifviip</t>
  </si>
  <si>
    <t>pnsxdhqo</t>
  </si>
  <si>
    <t>poohpdwc</t>
  </si>
  <si>
    <t>pswtoazn</t>
  </si>
  <si>
    <t>pxkjcmpp</t>
  </si>
  <si>
    <t>pxzcvvvv</t>
  </si>
  <si>
    <t>pyljmfku</t>
  </si>
  <si>
    <t>pysaclod</t>
  </si>
  <si>
    <t>pywztrno</t>
  </si>
  <si>
    <t>qdqbwhng</t>
  </si>
  <si>
    <t>qexyofhb</t>
  </si>
  <si>
    <t>qhprzdnb</t>
  </si>
  <si>
    <t>qklyndfp</t>
  </si>
  <si>
    <t>qonnwndv</t>
  </si>
  <si>
    <t>rcmrnpig</t>
  </si>
  <si>
    <t>rfngluke</t>
  </si>
  <si>
    <t>rgbcrwet</t>
  </si>
  <si>
    <t>rkupdsbn</t>
  </si>
  <si>
    <t>rxbzlipl</t>
  </si>
  <si>
    <t>rypujago</t>
  </si>
  <si>
    <t>scoljxeg</t>
  </si>
  <si>
    <t>seaeoiib</t>
  </si>
  <si>
    <t>sejklwar</t>
  </si>
  <si>
    <t>seszlhqz</t>
  </si>
  <si>
    <t>sgdkuekd</t>
  </si>
  <si>
    <t>slqawwyu</t>
  </si>
  <si>
    <t>stsjuvrd</t>
  </si>
  <si>
    <t>tazccemg</t>
  </si>
  <si>
    <t>tgayvhvz</t>
  </si>
  <si>
    <t>tiebtpqq</t>
  </si>
  <si>
    <t>tjtyuhoi</t>
  </si>
  <si>
    <t>tsmbtvip</t>
  </si>
  <si>
    <t>tsrjnkjg</t>
  </si>
  <si>
    <t>ttxgpfqy</t>
  </si>
  <si>
    <t>tuneagik</t>
  </si>
  <si>
    <t>twxakkhn</t>
  </si>
  <si>
    <t>txuwmhfn</t>
  </si>
  <si>
    <t>tyoavqhc</t>
  </si>
  <si>
    <t>ucjtvrzo</t>
  </si>
  <si>
    <t>ueoaufxg</t>
  </si>
  <si>
    <t>ugegxjpi</t>
  </si>
  <si>
    <t>uijhzhtp</t>
  </si>
  <si>
    <t>uiytklhp</t>
  </si>
  <si>
    <t>umdvcmek</t>
  </si>
  <si>
    <t>unxxstxp</t>
  </si>
  <si>
    <t>upcbwvls</t>
  </si>
  <si>
    <t>uvenvheh</t>
  </si>
  <si>
    <t>vajwbmmv</t>
  </si>
  <si>
    <t>vggvbbxh</t>
  </si>
  <si>
    <t>vjtxbscg</t>
  </si>
  <si>
    <t>vnkvbrpg</t>
  </si>
  <si>
    <t>vqkagvwm</t>
  </si>
  <si>
    <t>waxzujox</t>
  </si>
  <si>
    <t>wfglkcmq</t>
  </si>
  <si>
    <t>wgpoqytj</t>
  </si>
  <si>
    <t>wgzgfkki</t>
  </si>
  <si>
    <t>wiujcxll</t>
  </si>
  <si>
    <t>wmesgogf</t>
  </si>
  <si>
    <t>wzerurjz</t>
  </si>
  <si>
    <t>xbcdvdtp</t>
  </si>
  <si>
    <t>xgimgqvp</t>
  </si>
  <si>
    <t>xgszegxx</t>
  </si>
  <si>
    <t>xgxazdwr</t>
  </si>
  <si>
    <t>xkdlzakx</t>
  </si>
  <si>
    <t>xmfevyrg</t>
  </si>
  <si>
    <t>xmzhzbvl</t>
  </si>
  <si>
    <t>xslzwome</t>
  </si>
  <si>
    <t>xydeqivj</t>
  </si>
  <si>
    <t>ybasexlh</t>
  </si>
  <si>
    <t>ydcmffnz</t>
  </si>
  <si>
    <t>yjrqvwdc</t>
  </si>
  <si>
    <t>ynqvlbrq</t>
  </si>
  <si>
    <t>ynrcizqr</t>
  </si>
  <si>
    <t>ypdwpcvo</t>
  </si>
  <si>
    <t>yrvvdedn</t>
  </si>
  <si>
    <t>ysndnwiy</t>
  </si>
  <si>
    <t>ywfotaaf</t>
  </si>
  <si>
    <t>yyclexzy</t>
  </si>
  <si>
    <t>zhhtkovi</t>
  </si>
  <si>
    <t>zkxftiop</t>
  </si>
  <si>
    <t>zlqfijoe</t>
  </si>
  <si>
    <t>zrgkwdyf</t>
  </si>
  <si>
    <t>zsbkamjf</t>
  </si>
  <si>
    <t>zsylhezi</t>
  </si>
  <si>
    <t>zvxjotpr</t>
  </si>
  <si>
    <t>​</t>
  </si>
  <si>
    <t>Grand Total</t>
  </si>
  <si>
    <t>Mondatory to pay taxes</t>
  </si>
  <si>
    <t>Trade ID</t>
  </si>
  <si>
    <t>Duration</t>
  </si>
  <si>
    <t>Profit</t>
  </si>
  <si>
    <t xml:space="preserve">       L’istogramma mostra una distribuzione non normale: la frequenza non segue la tipica curva a campana, ma presenta picchi irregolari. La durata più frequente si colloca tra 600-630 giorni, mentre i minimi si attestano tra 90-120 giorni e 840-870 giorni.Nel suo aspetto globale, la frequenza non ricalca una distrubuzione normale, ovvero la distrubuzione non assume la clasicca forma "a campana", ma è piuttosto caratterizzata da massimi e minimi incostanti, con l'intervallo di duration massimo che non si attesta intorno al 50% delle osservazioni, </t>
  </si>
  <si>
    <t>Ragion</t>
  </si>
  <si>
    <t>Number of trades</t>
  </si>
  <si>
    <t>Marginale</t>
  </si>
  <si>
    <t>trade in uk acquistati 7 volte</t>
  </si>
  <si>
    <t>probabilità</t>
  </si>
  <si>
    <t>probabilità percentuale:</t>
  </si>
  <si>
    <t>probanilità che estraendo un qualunque tradeID questo sia stato acquistato asattamente 7 volte in UK</t>
  </si>
  <si>
    <t>probanilità che estraendo un qualunque tradeID questo sia stato acquistato in un qualunque stato asiatico in qualita no superiore a 8 unità</t>
  </si>
  <si>
    <t>somma trade &lt;=8</t>
  </si>
  <si>
    <t>Num of trades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</si>
</sst>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_-[$$-409]* #,##0.00000_ ;_-[$$-409]* \-#,##0.00000\ ;_-[$$-409]* &quot;-&quot;??_ ;_-@_ "/>
    <numFmt numFmtId="175" formatCode="0.0%"/>
  </numFmts>
  <fonts count="15">
    <font>
      <sz val="10"/>
      <color rgb="FF000000"/>
      <name val="Arial"/>
      <scheme val="minor"/>
    </font>
    <font>
      <b/>
      <sz val="14"/>
      <color rgb="FF000000"/>
      <name val="Calibri"/>
    </font>
    <font>
      <sz val="10"/>
      <color rgb="FF000000"/>
      <name val="Monospace"/>
    </font>
    <font>
      <sz val="10"/>
      <color rgb="FF000000"/>
      <name val="Calibri"/>
    </font>
    <font>
      <sz val="10"/>
      <color theme="1"/>
      <name val="Calibri"/>
    </font>
    <font>
      <sz val="11"/>
      <color rgb="FF000000"/>
      <name val="Monospace"/>
    </font>
    <font>
      <sz val="10"/>
      <color rgb="FF303F9F"/>
      <name val="Monospace"/>
    </font>
    <font>
      <sz val="10"/>
      <color theme="1"/>
      <name val="Inherit"/>
    </font>
    <font>
      <sz val="10"/>
      <color theme="1"/>
      <name val="Monospace"/>
    </font>
    <font>
      <sz val="10"/>
      <color rgb="FF000000"/>
      <name val="Arial"/>
      <scheme val="minor"/>
    </font>
    <font>
      <b/>
      <sz val="12"/>
      <color theme="4" tint="-0.249977111117893"/>
      <name val="Comic Sans MS"/>
      <family val="4"/>
    </font>
    <font>
      <sz val="10"/>
      <color rgb="FF000000"/>
      <name val="Arial"/>
      <family val="2"/>
      <scheme val="minor"/>
    </font>
    <font>
      <sz val="12"/>
      <color theme="4" tint="-0.249977111117893"/>
      <name val="Comic Sans MS"/>
      <family val="4"/>
    </font>
    <font>
      <sz val="10"/>
      <color theme="4" tint="-0.249977111117893"/>
      <name val="Arial"/>
      <family val="2"/>
      <scheme val="minor"/>
    </font>
    <font>
      <i/>
      <sz val="12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 wrapText="1"/>
    </xf>
    <xf numFmtId="0" fontId="3" fillId="0" borderId="1" xfId="0" applyFont="1" applyBorder="1"/>
    <xf numFmtId="0" fontId="4" fillId="0" borderId="1" xfId="0" applyFont="1" applyBorder="1"/>
    <xf numFmtId="0" fontId="5" fillId="2" borderId="1" xfId="0" applyFont="1" applyFill="1" applyBorder="1" applyAlignment="1">
      <alignment horizontal="left" wrapText="1"/>
    </xf>
    <xf numFmtId="11" fontId="5" fillId="2" borderId="1" xfId="0" applyNumberFormat="1" applyFont="1" applyFill="1" applyBorder="1" applyAlignment="1">
      <alignment horizontal="left" wrapText="1"/>
    </xf>
    <xf numFmtId="14" fontId="2" fillId="0" borderId="1" xfId="0" applyNumberFormat="1" applyFont="1" applyBorder="1" applyAlignment="1">
      <alignment horizontal="left" wrapText="1"/>
    </xf>
    <xf numFmtId="14" fontId="6" fillId="0" borderId="0" xfId="0" applyNumberFormat="1" applyFont="1" applyAlignment="1">
      <alignment horizontal="right" wrapText="1"/>
    </xf>
    <xf numFmtId="14" fontId="7" fillId="0" borderId="0" xfId="0" applyNumberFormat="1" applyFont="1" applyAlignment="1">
      <alignment horizontal="right"/>
    </xf>
    <xf numFmtId="14" fontId="8" fillId="0" borderId="0" xfId="0" applyNumberFormat="1" applyFont="1" applyAlignment="1">
      <alignment horizontal="right"/>
    </xf>
    <xf numFmtId="14" fontId="0" fillId="0" borderId="0" xfId="0" applyNumberFormat="1"/>
    <xf numFmtId="14" fontId="5" fillId="3" borderId="0" xfId="0" applyNumberFormat="1" applyFont="1" applyFill="1" applyAlignment="1">
      <alignment wrapText="1"/>
    </xf>
    <xf numFmtId="14" fontId="4" fillId="0" borderId="0" xfId="0" applyNumberFormat="1" applyFont="1"/>
    <xf numFmtId="0" fontId="2" fillId="0" borderId="2" xfId="0" applyFont="1" applyBorder="1" applyAlignment="1">
      <alignment horizontal="left" wrapText="1"/>
    </xf>
    <xf numFmtId="0" fontId="3" fillId="0" borderId="2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10" fillId="0" borderId="3" xfId="0" applyFont="1" applyBorder="1"/>
    <xf numFmtId="14" fontId="10" fillId="0" borderId="3" xfId="0" applyNumberFormat="1" applyFont="1" applyBorder="1"/>
    <xf numFmtId="0" fontId="0" fillId="0" borderId="3" xfId="0" applyBorder="1"/>
    <xf numFmtId="0" fontId="0" fillId="0" borderId="0" xfId="0" applyBorder="1"/>
    <xf numFmtId="1" fontId="0" fillId="0" borderId="0" xfId="0" applyNumberFormat="1"/>
    <xf numFmtId="0" fontId="12" fillId="0" borderId="3" xfId="0" applyFont="1" applyBorder="1"/>
    <xf numFmtId="1" fontId="0" fillId="0" borderId="3" xfId="0" applyNumberFormat="1" applyBorder="1"/>
    <xf numFmtId="174" fontId="0" fillId="0" borderId="3" xfId="0" applyNumberFormat="1" applyBorder="1"/>
    <xf numFmtId="174" fontId="0" fillId="0" borderId="0" xfId="0" applyNumberFormat="1"/>
    <xf numFmtId="0" fontId="0" fillId="0" borderId="5" xfId="0" applyBorder="1"/>
    <xf numFmtId="1" fontId="0" fillId="0" borderId="5" xfId="0" applyNumberFormat="1" applyBorder="1"/>
    <xf numFmtId="174" fontId="0" fillId="0" borderId="5" xfId="0" applyNumberFormat="1" applyBorder="1"/>
    <xf numFmtId="0" fontId="12" fillId="0" borderId="4" xfId="0" applyFont="1" applyBorder="1"/>
    <xf numFmtId="1" fontId="12" fillId="0" borderId="4" xfId="0" applyNumberFormat="1" applyFont="1" applyBorder="1"/>
    <xf numFmtId="174" fontId="12" fillId="0" borderId="4" xfId="0" applyNumberFormat="1" applyFont="1" applyBorder="1"/>
    <xf numFmtId="0" fontId="14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" xfId="0" applyBorder="1"/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0" fillId="0" borderId="6" xfId="0" applyBorder="1"/>
    <xf numFmtId="0" fontId="12" fillId="0" borderId="16" xfId="0" applyFont="1" applyBorder="1" applyAlignment="1">
      <alignment horizontal="center" vertical="center" textRotation="90"/>
    </xf>
    <xf numFmtId="0" fontId="12" fillId="0" borderId="17" xfId="0" applyFont="1" applyBorder="1" applyAlignment="1">
      <alignment horizontal="center" vertical="center" textRotation="90"/>
    </xf>
    <xf numFmtId="0" fontId="12" fillId="0" borderId="18" xfId="0" applyFont="1" applyBorder="1" applyAlignment="1">
      <alignment horizontal="center" vertical="center" textRotation="90"/>
    </xf>
    <xf numFmtId="0" fontId="0" fillId="0" borderId="26" xfId="0" applyBorder="1"/>
    <xf numFmtId="0" fontId="12" fillId="4" borderId="3" xfId="0" applyFont="1" applyFill="1" applyBorder="1"/>
    <xf numFmtId="0" fontId="0" fillId="4" borderId="26" xfId="0" applyFill="1" applyBorder="1"/>
    <xf numFmtId="0" fontId="0" fillId="4" borderId="6" xfId="0" applyFill="1" applyBorder="1"/>
    <xf numFmtId="0" fontId="12" fillId="4" borderId="6" xfId="0" applyFont="1" applyFill="1" applyBorder="1"/>
    <xf numFmtId="0" fontId="13" fillId="5" borderId="15" xfId="0" applyFont="1" applyFill="1" applyBorder="1"/>
    <xf numFmtId="0" fontId="11" fillId="0" borderId="27" xfId="0" applyFont="1" applyBorder="1" applyAlignment="1">
      <alignment horizontal="left"/>
    </xf>
    <xf numFmtId="0" fontId="0" fillId="0" borderId="27" xfId="0" applyBorder="1"/>
    <xf numFmtId="0" fontId="11" fillId="0" borderId="1" xfId="0" applyFont="1" applyBorder="1" applyAlignment="1">
      <alignment horizontal="left"/>
    </xf>
    <xf numFmtId="175" fontId="0" fillId="0" borderId="1" xfId="1" applyNumberFormat="1" applyFont="1" applyBorder="1"/>
    <xf numFmtId="0" fontId="11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5" xfId="0" applyNumberFormat="1" applyBorder="1"/>
    <xf numFmtId="0" fontId="0" fillId="0" borderId="5" xfId="0" applyBorder="1" applyAlignment="1">
      <alignment horizontal="center"/>
    </xf>
    <xf numFmtId="0" fontId="12" fillId="5" borderId="19" xfId="0" applyFont="1" applyFill="1" applyBorder="1"/>
    <xf numFmtId="0" fontId="0" fillId="6" borderId="3" xfId="0" applyFill="1" applyBorder="1"/>
    <xf numFmtId="0" fontId="0" fillId="6" borderId="3" xfId="0" applyNumberFormat="1" applyFill="1" applyBorder="1"/>
  </cellXfs>
  <cellStyles count="2">
    <cellStyle name="Normal" xfId="0" builtinId="0"/>
    <cellStyle name="Percent" xfId="1" builtinId="5"/>
  </cellStyles>
  <dxfs count="40"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vertical style="double">
          <color indexed="64"/>
        </vertical>
      </border>
    </dxf>
    <dxf>
      <border>
        <vertical style="double">
          <color indexed="64"/>
        </vertical>
      </border>
    </dxf>
    <dxf>
      <border>
        <vertical style="double">
          <color indexed="64"/>
        </vertic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Frequenza duration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Frequenza duration</a:t>
          </a:r>
        </a:p>
      </cx:txPr>
    </cx:title>
    <cx:plotArea>
      <cx:plotAreaRegion>
        <cx:series layoutId="clusteredColumn" uniqueId="{5D77346F-4C0D-4D0F-9BF2-DF702B74C4E5}">
          <cx:tx>
            <cx:txData>
              <cx:f>_xlchart.v1.2</cx:f>
              <cx:v>Duration</cx:v>
            </cx:txData>
          </cx:tx>
          <cx:spPr>
            <a:solidFill>
              <a:schemeClr val="accent1">
                <a:lumMod val="50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</cx:spPr>
          <cx:dataId val="0"/>
          <cx:layoutPr>
            <cx:binning intervalClosed="r">
              <cx:binSize val="3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20410</xdr:colOff>
      <xdr:row>2</xdr:row>
      <xdr:rowOff>176894</xdr:rowOff>
    </xdr:from>
    <xdr:to>
      <xdr:col>17</xdr:col>
      <xdr:colOff>0</xdr:colOff>
      <xdr:row>31</xdr:row>
      <xdr:rowOff>141698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E97A3775-B33F-F265-4D33-576F13AAF7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9642" y="605519"/>
              <a:ext cx="8552090" cy="529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errahmane" refreshedDate="45845.731598611113" createdVersion="8" refreshedVersion="8" minRefreshableVersion="3" recordCount="200" xr:uid="{D850B988-D79F-44BF-893B-2EE29E88E93B}">
  <cacheSource type="worksheet">
    <worksheetSource ref="A1:H201" sheet="My trades"/>
  </cacheSource>
  <cacheFields count="8">
    <cacheField name="Trade" numFmtId="0">
      <sharedItems/>
    </cacheField>
    <cacheField name="Stock exchange" numFmtId="0">
      <sharedItems count="21">
        <s v="Australian Securities Exchange"/>
        <s v="B3 Brasil Bolsa Balcão"/>
        <s v="Toronto Stock Exchange"/>
        <s v="Shanghai Stock Exchange"/>
        <s v="Shenzhen Stock Exchange"/>
        <s v="Euronext"/>
        <s v="Nasdaq Nordic and Baltic Exchanges"/>
        <s v="Deutsche Börse AG"/>
        <s v="Hong Kong Stock Exchange"/>
        <s v="Bombay Stock Exchange"/>
        <s v="National Stock Exchange"/>
        <s v="Tehran Stock Exchange"/>
        <s v="Japan Exchange Group"/>
        <s v="Saudi Stock Exchange (Tadawul)"/>
        <s v="Johannesburg Stock Exchange"/>
        <s v="Korea Exchange"/>
        <s v="SIX Swiss Exchange"/>
        <s v="Taiwan Stock Exchange"/>
        <s v="London Stock Exchange"/>
        <s v="Nasdaq"/>
        <s v="New York Stock Exchange"/>
      </sharedItems>
    </cacheField>
    <cacheField name="Region" numFmtId="0">
      <sharedItems count="17">
        <s v="Australia"/>
        <s v="Brazil"/>
        <s v="Canada"/>
        <s v="China"/>
        <s v="Europe"/>
        <s v="Germany"/>
        <s v="Hong Kong"/>
        <s v="India"/>
        <s v="Iran"/>
        <s v="Japan"/>
        <s v="Saudi Arabia"/>
        <s v="South Africa"/>
        <s v="South Korea"/>
        <s v="Switzerland"/>
        <s v="Taiwan"/>
        <s v="United Kingdom"/>
        <s v="United States"/>
      </sharedItems>
    </cacheField>
    <cacheField name="Date added" numFmtId="14">
      <sharedItems containsSemiMixedTypes="0" containsNonDate="0" containsDate="1" containsString="0" minDate="2021-01-02T00:00:00" maxDate="2022-12-31T00:00:00"/>
    </cacheField>
    <cacheField name="Quantity" numFmtId="0">
      <sharedItems containsSemiMixedTypes="0" containsString="0" containsNumber="1" containsInteger="1" minValue="1" maxValue="10"/>
    </cacheField>
    <cacheField name="Buy Price" numFmtId="0">
      <sharedItems containsSemiMixedTypes="0" containsString="0" containsNumber="1" minValue="2.2027610408179498E-3" maxValue="0.98933192835650696"/>
    </cacheField>
    <cacheField name="Date sold" numFmtId="14">
      <sharedItems containsSemiMixedTypes="0" containsNonDate="0" containsDate="1" containsString="0" minDate="2023-01-02T00:00:00" maxDate="2023-06-16T00:00:00"/>
    </cacheField>
    <cacheField name="Sell Price" numFmtId="0">
      <sharedItems containsSemiMixedTypes="0" containsString="0" containsNumber="1" minValue="6.0761804468123501E-5" maxValue="0.992072819954332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hrfilyua"/>
    <x v="0"/>
    <x v="0"/>
    <d v="2021-06-09T00:00:00"/>
    <n v="6"/>
    <n v="0.75369284563293804"/>
    <d v="2023-03-15T00:00:00"/>
    <n v="0.95310350121023102"/>
  </r>
  <r>
    <s v="jgrpnvil"/>
    <x v="0"/>
    <x v="0"/>
    <d v="2022-01-13T00:00:00"/>
    <n v="5"/>
    <n v="2.4408043245797401E-2"/>
    <d v="2023-04-25T00:00:00"/>
    <n v="0.11842008103757801"/>
  </r>
  <r>
    <s v="knrhgdai"/>
    <x v="0"/>
    <x v="0"/>
    <d v="2022-03-23T00:00:00"/>
    <n v="10"/>
    <n v="0.13502577444900801"/>
    <d v="2023-05-04T00:00:00"/>
    <n v="9.7289928257875094E-2"/>
  </r>
  <r>
    <s v="kweyaukr"/>
    <x v="0"/>
    <x v="0"/>
    <d v="2021-12-14T00:00:00"/>
    <n v="7"/>
    <n v="0.77483286137645402"/>
    <d v="2023-02-20T00:00:00"/>
    <n v="0.83972936204120796"/>
  </r>
  <r>
    <s v="mfdlyjqb"/>
    <x v="0"/>
    <x v="0"/>
    <d v="2021-02-23T00:00:00"/>
    <n v="5"/>
    <n v="0.70021844930653598"/>
    <d v="2023-03-23T00:00:00"/>
    <n v="0.61187665279577597"/>
  </r>
  <r>
    <s v="mjbwcafl"/>
    <x v="0"/>
    <x v="0"/>
    <d v="2021-07-19T00:00:00"/>
    <n v="7"/>
    <n v="0.55211790295911001"/>
    <d v="2023-03-26T00:00:00"/>
    <n v="0.33871055216854301"/>
  </r>
  <r>
    <s v="mxpzparg"/>
    <x v="0"/>
    <x v="0"/>
    <d v="2021-09-29T00:00:00"/>
    <n v="3"/>
    <n v="0.93189165277683395"/>
    <d v="2023-02-05T00:00:00"/>
    <n v="2.43785689040747E-2"/>
  </r>
  <r>
    <s v="nklszbdc"/>
    <x v="0"/>
    <x v="0"/>
    <d v="2022-04-08T00:00:00"/>
    <n v="7"/>
    <n v="0.75215132834364595"/>
    <d v="2023-05-05T00:00:00"/>
    <n v="2.6168363795351798E-2"/>
  </r>
  <r>
    <s v="pnsxdhqo"/>
    <x v="0"/>
    <x v="0"/>
    <d v="2022-02-03T00:00:00"/>
    <n v="1"/>
    <n v="0.90771622925444195"/>
    <d v="2023-01-30T00:00:00"/>
    <n v="0.76439006848756197"/>
  </r>
  <r>
    <s v="qexyofhb"/>
    <x v="0"/>
    <x v="0"/>
    <d v="2022-11-21T00:00:00"/>
    <n v="8"/>
    <n v="0.46539821567982897"/>
    <d v="2023-04-22T00:00:00"/>
    <n v="0.39766402949830199"/>
  </r>
  <r>
    <s v="qonnwndv"/>
    <x v="0"/>
    <x v="0"/>
    <d v="2021-04-11T00:00:00"/>
    <n v="2"/>
    <n v="2.2277472344418001E-2"/>
    <d v="2023-05-07T00:00:00"/>
    <n v="0.31572522679826798"/>
  </r>
  <r>
    <s v="twxakkhn"/>
    <x v="0"/>
    <x v="0"/>
    <d v="2022-10-23T00:00:00"/>
    <n v="5"/>
    <n v="0.36944159210677702"/>
    <d v="2023-01-18T00:00:00"/>
    <n v="0.83598479662907399"/>
  </r>
  <r>
    <s v="txuwmhfn"/>
    <x v="0"/>
    <x v="0"/>
    <d v="2022-02-15T00:00:00"/>
    <n v="1"/>
    <n v="0.58311714000128001"/>
    <d v="2023-03-01T00:00:00"/>
    <n v="0.132094119226041"/>
  </r>
  <r>
    <s v="uijhzhtp"/>
    <x v="0"/>
    <x v="0"/>
    <d v="2022-09-26T00:00:00"/>
    <n v="2"/>
    <n v="0.28151547287029699"/>
    <d v="2023-02-14T00:00:00"/>
    <n v="0.112845737208008"/>
  </r>
  <r>
    <s v="wfglkcmq"/>
    <x v="0"/>
    <x v="0"/>
    <d v="2022-12-08T00:00:00"/>
    <n v="1"/>
    <n v="0.48177369539871401"/>
    <d v="2023-04-30T00:00:00"/>
    <n v="0.92834498334210402"/>
  </r>
  <r>
    <s v="zlqfijoe"/>
    <x v="0"/>
    <x v="0"/>
    <d v="2021-02-02T00:00:00"/>
    <n v="10"/>
    <n v="0.81758392927810297"/>
    <d v="2023-01-11T00:00:00"/>
    <n v="0.16419798109251399"/>
  </r>
  <r>
    <s v="dieionnl"/>
    <x v="1"/>
    <x v="1"/>
    <d v="2021-09-30T00:00:00"/>
    <n v="2"/>
    <n v="2.2027610408179498E-3"/>
    <d v="2023-03-31T00:00:00"/>
    <n v="0.38274839978632802"/>
  </r>
  <r>
    <s v="dspetbsq"/>
    <x v="1"/>
    <x v="1"/>
    <d v="2022-06-13T00:00:00"/>
    <n v="8"/>
    <n v="0.87889715359181098"/>
    <d v="2023-01-06T00:00:00"/>
    <n v="0.20020556920871699"/>
  </r>
  <r>
    <s v="icbmbfqb"/>
    <x v="1"/>
    <x v="1"/>
    <d v="2021-05-24T00:00:00"/>
    <n v="9"/>
    <n v="0.87646719833682096"/>
    <d v="2023-01-31T00:00:00"/>
    <n v="0.32932752883912297"/>
  </r>
  <r>
    <s v="ivnpgban"/>
    <x v="1"/>
    <x v="1"/>
    <d v="2022-04-28T00:00:00"/>
    <n v="1"/>
    <n v="0.574831092396204"/>
    <d v="2023-01-10T00:00:00"/>
    <n v="0.14703843884491"/>
  </r>
  <r>
    <s v="jyrrbwon"/>
    <x v="1"/>
    <x v="1"/>
    <d v="2022-05-25T00:00:00"/>
    <n v="1"/>
    <n v="0.269555056043635"/>
    <d v="2023-03-15T00:00:00"/>
    <n v="0.122182361751799"/>
  </r>
  <r>
    <s v="kltxxoqv"/>
    <x v="1"/>
    <x v="1"/>
    <d v="2021-03-15T00:00:00"/>
    <n v="3"/>
    <n v="0.98933192835650696"/>
    <d v="2023-01-26T00:00:00"/>
    <n v="0.116747383128981"/>
  </r>
  <r>
    <s v="lpzjhtkm"/>
    <x v="1"/>
    <x v="1"/>
    <d v="2021-12-27T00:00:00"/>
    <n v="4"/>
    <n v="3.6105377236760302E-3"/>
    <d v="2023-03-08T00:00:00"/>
    <n v="0.430410454177235"/>
  </r>
  <r>
    <s v="nuleyiit"/>
    <x v="1"/>
    <x v="1"/>
    <d v="2022-12-08T00:00:00"/>
    <n v="7"/>
    <n v="0.60752716500644899"/>
    <d v="2023-04-13T00:00:00"/>
    <n v="0.90286839870973001"/>
  </r>
  <r>
    <s v="ohtzxhrm"/>
    <x v="1"/>
    <x v="1"/>
    <d v="2021-03-21T00:00:00"/>
    <n v="7"/>
    <n v="0.95038285910889397"/>
    <d v="2023-05-21T00:00:00"/>
    <n v="0.493774747227402"/>
  </r>
  <r>
    <s v="oplgqwal"/>
    <x v="1"/>
    <x v="1"/>
    <d v="2022-12-12T00:00:00"/>
    <n v="9"/>
    <n v="0.88394112549340798"/>
    <d v="2023-01-23T00:00:00"/>
    <n v="0.170650898099275"/>
  </r>
  <r>
    <s v="qhprzdnb"/>
    <x v="1"/>
    <x v="1"/>
    <d v="2021-07-03T00:00:00"/>
    <n v="2"/>
    <n v="0.41769016811982401"/>
    <d v="2023-03-05T00:00:00"/>
    <n v="0.67060305745283799"/>
  </r>
  <r>
    <s v="ttxgpfqy"/>
    <x v="1"/>
    <x v="1"/>
    <d v="2022-02-24T00:00:00"/>
    <n v="7"/>
    <n v="0.41475447056245102"/>
    <d v="2023-03-07T00:00:00"/>
    <n v="0.41302964862980401"/>
  </r>
  <r>
    <s v="vggvbbxh"/>
    <x v="1"/>
    <x v="1"/>
    <d v="2021-06-07T00:00:00"/>
    <n v="7"/>
    <n v="0.98744929724646802"/>
    <d v="2023-05-03T00:00:00"/>
    <n v="0.21163360381443899"/>
  </r>
  <r>
    <s v="zkxftiop"/>
    <x v="1"/>
    <x v="1"/>
    <d v="2021-08-01T00:00:00"/>
    <n v="2"/>
    <n v="0.56649641364178105"/>
    <d v="2023-01-22T00:00:00"/>
    <n v="0.76019400248091895"/>
  </r>
  <r>
    <s v="zsbkamjf"/>
    <x v="1"/>
    <x v="1"/>
    <d v="2022-09-24T00:00:00"/>
    <n v="6"/>
    <n v="0.51291771398490105"/>
    <d v="2023-03-02T00:00:00"/>
    <n v="0.755021488484095"/>
  </r>
  <r>
    <s v="zvxjotpr"/>
    <x v="1"/>
    <x v="1"/>
    <d v="2021-11-02T00:00:00"/>
    <n v="8"/>
    <n v="0.91352809441905303"/>
    <d v="2023-02-21T00:00:00"/>
    <n v="0.137985792121295"/>
  </r>
  <r>
    <s v="bjfxoyxb"/>
    <x v="2"/>
    <x v="2"/>
    <d v="2021-10-03T00:00:00"/>
    <n v="10"/>
    <n v="0.41670439236003598"/>
    <d v="2023-04-29T00:00:00"/>
    <n v="0.54934508287877304"/>
  </r>
  <r>
    <s v="dpaxyvrx"/>
    <x v="2"/>
    <x v="2"/>
    <d v="2022-11-17T00:00:00"/>
    <n v="2"/>
    <n v="0.83894286337563995"/>
    <d v="2023-01-07T00:00:00"/>
    <n v="0.67630232908539301"/>
  </r>
  <r>
    <s v="hafqyymf"/>
    <x v="2"/>
    <x v="2"/>
    <d v="2021-05-24T00:00:00"/>
    <n v="10"/>
    <n v="0.702645841021446"/>
    <d v="2023-01-02T00:00:00"/>
    <n v="0.369783832169231"/>
  </r>
  <r>
    <s v="mxmztjnk"/>
    <x v="2"/>
    <x v="2"/>
    <d v="2022-11-07T00:00:00"/>
    <n v="6"/>
    <n v="0.34955930087119302"/>
    <d v="2023-01-03T00:00:00"/>
    <n v="0.53327527116873796"/>
  </r>
  <r>
    <s v="rkupdsbn"/>
    <x v="2"/>
    <x v="2"/>
    <d v="2021-02-17T00:00:00"/>
    <n v="2"/>
    <n v="0.55145811024395297"/>
    <d v="2023-01-12T00:00:00"/>
    <n v="0.43942741221319298"/>
  </r>
  <r>
    <s v="sgdkuekd"/>
    <x v="2"/>
    <x v="2"/>
    <d v="2022-05-09T00:00:00"/>
    <n v="5"/>
    <n v="0.55996144918041602"/>
    <d v="2023-02-25T00:00:00"/>
    <n v="4.0845294204603297E-3"/>
  </r>
  <r>
    <s v="stsjuvrd"/>
    <x v="2"/>
    <x v="2"/>
    <d v="2022-07-27T00:00:00"/>
    <n v="5"/>
    <n v="0.72618042932337601"/>
    <d v="2023-03-28T00:00:00"/>
    <n v="0.31138195774945998"/>
  </r>
  <r>
    <s v="vajwbmmv"/>
    <x v="2"/>
    <x v="2"/>
    <d v="2022-12-21T00:00:00"/>
    <n v="6"/>
    <n v="0.48045901029779903"/>
    <d v="2023-05-18T00:00:00"/>
    <n v="0.433788778732414"/>
  </r>
  <r>
    <s v="cntrbotn"/>
    <x v="3"/>
    <x v="3"/>
    <d v="2021-05-25T00:00:00"/>
    <n v="4"/>
    <n v="0.221183884694959"/>
    <d v="2023-02-07T00:00:00"/>
    <n v="0.33188863151931702"/>
  </r>
  <r>
    <s v="eodhevfz"/>
    <x v="4"/>
    <x v="3"/>
    <d v="2021-02-12T00:00:00"/>
    <n v="9"/>
    <n v="3.8415611438702597E-2"/>
    <d v="2023-04-18T00:00:00"/>
    <n v="0.69214535069910299"/>
  </r>
  <r>
    <s v="gnghjpok"/>
    <x v="3"/>
    <x v="3"/>
    <d v="2021-05-22T00:00:00"/>
    <n v="9"/>
    <n v="0.71155870482197403"/>
    <d v="2023-04-29T00:00:00"/>
    <n v="0.15390650537949099"/>
  </r>
  <r>
    <s v="hnmvqkxv"/>
    <x v="4"/>
    <x v="3"/>
    <d v="2021-08-12T00:00:00"/>
    <n v="4"/>
    <n v="0.71929697815108395"/>
    <d v="2023-04-13T00:00:00"/>
    <n v="5.4091466872212501E-2"/>
  </r>
  <r>
    <s v="ifskxsgr"/>
    <x v="4"/>
    <x v="3"/>
    <d v="2022-04-08T00:00:00"/>
    <n v="2"/>
    <n v="0.68555193640676504"/>
    <d v="2023-03-29T00:00:00"/>
    <n v="0.40035912772023502"/>
  </r>
  <r>
    <s v="kpoujdyl"/>
    <x v="3"/>
    <x v="3"/>
    <d v="2022-05-22T00:00:00"/>
    <n v="1"/>
    <n v="0.105161391848884"/>
    <d v="2023-05-08T00:00:00"/>
    <n v="0.22690729464404399"/>
  </r>
  <r>
    <s v="tazccemg"/>
    <x v="4"/>
    <x v="3"/>
    <d v="2021-01-10T00:00:00"/>
    <n v="3"/>
    <n v="0.113699112632604"/>
    <d v="2023-03-27T00:00:00"/>
    <n v="3.0869795040312301E-2"/>
  </r>
  <r>
    <s v="tiebtpqq"/>
    <x v="4"/>
    <x v="3"/>
    <d v="2021-10-15T00:00:00"/>
    <n v="4"/>
    <n v="0.573839853564304"/>
    <d v="2023-05-04T00:00:00"/>
    <n v="0.74143260510805697"/>
  </r>
  <r>
    <s v="ucjtvrzo"/>
    <x v="4"/>
    <x v="3"/>
    <d v="2022-05-03T00:00:00"/>
    <n v="8"/>
    <n v="0.29111039384551202"/>
    <d v="2023-03-18T00:00:00"/>
    <n v="0.67736656660512595"/>
  </r>
  <r>
    <s v="ueoaufxg"/>
    <x v="4"/>
    <x v="3"/>
    <d v="2021-02-13T00:00:00"/>
    <n v="4"/>
    <n v="0.112536236136402"/>
    <d v="2023-05-05T00:00:00"/>
    <n v="0.73892418680528005"/>
  </r>
  <r>
    <s v="uvenvheh"/>
    <x v="3"/>
    <x v="3"/>
    <d v="2022-07-03T00:00:00"/>
    <n v="5"/>
    <n v="0.74838580953710099"/>
    <d v="2023-02-23T00:00:00"/>
    <n v="0.56239389347784197"/>
  </r>
  <r>
    <s v="vnkvbrpg"/>
    <x v="3"/>
    <x v="3"/>
    <d v="2022-08-28T00:00:00"/>
    <n v="4"/>
    <n v="6.3638338964366797E-2"/>
    <d v="2023-03-29T00:00:00"/>
    <n v="0.82222519151117301"/>
  </r>
  <r>
    <s v="wmesgogf"/>
    <x v="3"/>
    <x v="3"/>
    <d v="2022-08-06T00:00:00"/>
    <n v="4"/>
    <n v="0.90284110874477896"/>
    <d v="2023-03-23T00:00:00"/>
    <n v="0.63507569454438495"/>
  </r>
  <r>
    <s v="xgszegxx"/>
    <x v="3"/>
    <x v="3"/>
    <d v="2021-01-15T00:00:00"/>
    <n v="6"/>
    <n v="0.76879912576772802"/>
    <d v="2023-03-21T00:00:00"/>
    <n v="0.86548533755676105"/>
  </r>
  <r>
    <s v="ywfotaaf"/>
    <x v="3"/>
    <x v="3"/>
    <d v="2022-07-18T00:00:00"/>
    <n v="6"/>
    <n v="0.91937449423976403"/>
    <d v="2023-01-15T00:00:00"/>
    <n v="0.80855685548065803"/>
  </r>
  <r>
    <s v="yyclexzy"/>
    <x v="4"/>
    <x v="3"/>
    <d v="2021-07-14T00:00:00"/>
    <n v="1"/>
    <n v="0.26377783191771698"/>
    <d v="2023-01-17T00:00:00"/>
    <n v="0.53464391868976202"/>
  </r>
  <r>
    <s v="bcizkhng"/>
    <x v="5"/>
    <x v="4"/>
    <d v="2021-11-29T00:00:00"/>
    <n v="1"/>
    <n v="0.30386848867018701"/>
    <d v="2023-02-12T00:00:00"/>
    <n v="0.97814412656590199"/>
  </r>
  <r>
    <s v="bpjmrhjo"/>
    <x v="5"/>
    <x v="4"/>
    <d v="2022-01-26T00:00:00"/>
    <n v="6"/>
    <n v="0.24316986891245501"/>
    <d v="2023-03-02T00:00:00"/>
    <n v="0.420232824731951"/>
  </r>
  <r>
    <s v="fjcdzhde"/>
    <x v="5"/>
    <x v="4"/>
    <d v="2021-01-02T00:00:00"/>
    <n v="3"/>
    <n v="0.80123839065137303"/>
    <d v="2023-05-03T00:00:00"/>
    <n v="0.30527628395158701"/>
  </r>
  <r>
    <s v="jvcllvko"/>
    <x v="5"/>
    <x v="4"/>
    <d v="2022-03-24T00:00:00"/>
    <n v="4"/>
    <n v="0.81530857906975795"/>
    <d v="2023-01-28T00:00:00"/>
    <n v="0.48260987316073201"/>
  </r>
  <r>
    <s v="kqbdcljv"/>
    <x v="6"/>
    <x v="4"/>
    <d v="2022-06-30T00:00:00"/>
    <n v="6"/>
    <n v="0.11408685507641"/>
    <d v="2023-01-28T00:00:00"/>
    <n v="0.33571676903915298"/>
  </r>
  <r>
    <s v="kwbxqlin"/>
    <x v="6"/>
    <x v="4"/>
    <d v="2022-06-09T00:00:00"/>
    <n v="6"/>
    <n v="1.6069181318315098E-2"/>
    <d v="2023-01-02T00:00:00"/>
    <n v="0.93551003990677095"/>
  </r>
  <r>
    <s v="lkxgzzvq"/>
    <x v="5"/>
    <x v="4"/>
    <d v="2021-03-24T00:00:00"/>
    <n v="10"/>
    <n v="0.17894362318854701"/>
    <d v="2023-04-10T00:00:00"/>
    <n v="0.27983535659688702"/>
  </r>
  <r>
    <s v="mfwvjgje"/>
    <x v="5"/>
    <x v="4"/>
    <d v="2021-02-08T00:00:00"/>
    <n v="2"/>
    <n v="0.86236623667253698"/>
    <d v="2023-03-30T00:00:00"/>
    <n v="0.56413054876588398"/>
  </r>
  <r>
    <s v="mghfyjbr"/>
    <x v="6"/>
    <x v="4"/>
    <d v="2022-08-01T00:00:00"/>
    <n v="5"/>
    <n v="0.309379274915278"/>
    <d v="2023-03-30T00:00:00"/>
    <n v="6.4512653240185102E-3"/>
  </r>
  <r>
    <s v="mjyuxzvj"/>
    <x v="6"/>
    <x v="4"/>
    <d v="2021-10-22T00:00:00"/>
    <n v="4"/>
    <n v="0.20150989296011099"/>
    <d v="2023-05-21T00:00:00"/>
    <n v="0.23936851527945999"/>
  </r>
  <r>
    <s v="ogszgnpm"/>
    <x v="5"/>
    <x v="4"/>
    <d v="2022-06-04T00:00:00"/>
    <n v="1"/>
    <n v="0.165768699711766"/>
    <d v="2023-02-01T00:00:00"/>
    <n v="0.35219920122081899"/>
  </r>
  <r>
    <s v="scoljxeg"/>
    <x v="6"/>
    <x v="4"/>
    <d v="2021-09-03T00:00:00"/>
    <n v="9"/>
    <n v="0.351563700735118"/>
    <d v="2023-04-07T00:00:00"/>
    <n v="0.95442216883254405"/>
  </r>
  <r>
    <s v="slqawwyu"/>
    <x v="6"/>
    <x v="4"/>
    <d v="2021-11-21T00:00:00"/>
    <n v="4"/>
    <n v="0.56230632063577901"/>
    <d v="2023-05-14T00:00:00"/>
    <n v="0.68743114384612203"/>
  </r>
  <r>
    <s v="tgayvhvz"/>
    <x v="6"/>
    <x v="4"/>
    <d v="2022-09-18T00:00:00"/>
    <n v="1"/>
    <n v="8.6409222229514596E-2"/>
    <d v="2023-01-19T00:00:00"/>
    <n v="0.720395287309052"/>
  </r>
  <r>
    <s v="vqkagvwm"/>
    <x v="5"/>
    <x v="4"/>
    <d v="2021-11-15T00:00:00"/>
    <n v="3"/>
    <n v="7.0327700844507193E-2"/>
    <d v="2023-02-17T00:00:00"/>
    <n v="9.4112460113233404E-2"/>
  </r>
  <r>
    <s v="xgimgqvp"/>
    <x v="6"/>
    <x v="4"/>
    <d v="2022-10-02T00:00:00"/>
    <n v="5"/>
    <n v="0.30637569785375002"/>
    <d v="2023-03-23T00:00:00"/>
    <n v="1.25503463839893E-3"/>
  </r>
  <r>
    <s v="brxwzrct"/>
    <x v="7"/>
    <x v="5"/>
    <d v="2021-07-30T00:00:00"/>
    <n v="5"/>
    <n v="0.80079383386161695"/>
    <d v="2023-03-11T00:00:00"/>
    <n v="0.89666229529100405"/>
  </r>
  <r>
    <s v="ekteqlhb"/>
    <x v="7"/>
    <x v="5"/>
    <d v="2021-03-26T00:00:00"/>
    <n v="1"/>
    <n v="0.31751651418006399"/>
    <d v="2023-02-10T00:00:00"/>
    <n v="0.47080505116614901"/>
  </r>
  <r>
    <s v="fenldjbq"/>
    <x v="7"/>
    <x v="5"/>
    <d v="2021-09-07T00:00:00"/>
    <n v="5"/>
    <n v="0.72585135876436702"/>
    <d v="2023-05-07T00:00:00"/>
    <n v="0.173994592694031"/>
  </r>
  <r>
    <s v="fkgjitio"/>
    <x v="7"/>
    <x v="5"/>
    <d v="2021-11-03T00:00:00"/>
    <n v="3"/>
    <n v="0.89411437906362101"/>
    <d v="2023-01-25T00:00:00"/>
    <n v="0.15236785201696099"/>
  </r>
  <r>
    <s v="goxmkirb"/>
    <x v="7"/>
    <x v="5"/>
    <d v="2021-03-19T00:00:00"/>
    <n v="6"/>
    <n v="6.4033223650055093E-2"/>
    <d v="2023-03-19T00:00:00"/>
    <n v="4.2104998611888203E-3"/>
  </r>
  <r>
    <s v="hpvfzslv"/>
    <x v="7"/>
    <x v="5"/>
    <d v="2022-12-27T00:00:00"/>
    <n v="6"/>
    <n v="0.45894107528788403"/>
    <d v="2023-01-26T00:00:00"/>
    <n v="0.64879966285478297"/>
  </r>
  <r>
    <s v="icgddrqk"/>
    <x v="7"/>
    <x v="5"/>
    <d v="2022-07-31T00:00:00"/>
    <n v="5"/>
    <n v="0.68720157697523698"/>
    <d v="2023-05-08T00:00:00"/>
    <n v="0.79990973215818495"/>
  </r>
  <r>
    <s v="kdxpqsjj"/>
    <x v="7"/>
    <x v="5"/>
    <d v="2021-08-15T00:00:00"/>
    <n v="5"/>
    <n v="0.517478802978105"/>
    <d v="2023-03-06T00:00:00"/>
    <n v="0.194941670945359"/>
  </r>
  <r>
    <s v="ldjllwvy"/>
    <x v="7"/>
    <x v="5"/>
    <d v="2021-04-18T00:00:00"/>
    <n v="6"/>
    <n v="0.83415711448827101"/>
    <d v="2023-04-16T00:00:00"/>
    <n v="0.73754903864989096"/>
  </r>
  <r>
    <s v="pysaclod"/>
    <x v="7"/>
    <x v="5"/>
    <d v="2021-06-24T00:00:00"/>
    <n v="9"/>
    <n v="0.71248835178386805"/>
    <d v="2023-02-18T00:00:00"/>
    <n v="0.42914106932160101"/>
  </r>
  <r>
    <s v="rxbzlipl"/>
    <x v="7"/>
    <x v="5"/>
    <d v="2022-06-03T00:00:00"/>
    <n v="2"/>
    <n v="0.75204781971908696"/>
    <d v="2023-03-31T00:00:00"/>
    <n v="0.46296822834011098"/>
  </r>
  <r>
    <s v="seaeoiib"/>
    <x v="7"/>
    <x v="5"/>
    <d v="2022-11-13T00:00:00"/>
    <n v="3"/>
    <n v="0.708252824575899"/>
    <d v="2023-05-01T00:00:00"/>
    <n v="0.25743349659995701"/>
  </r>
  <r>
    <s v="tyoavqhc"/>
    <x v="7"/>
    <x v="5"/>
    <d v="2021-04-26T00:00:00"/>
    <n v="6"/>
    <n v="0.65300297719761102"/>
    <d v="2023-03-28T00:00:00"/>
    <n v="0.67542025364515701"/>
  </r>
  <r>
    <s v="ugegxjpi"/>
    <x v="7"/>
    <x v="5"/>
    <d v="2022-01-18T00:00:00"/>
    <n v="9"/>
    <n v="0.15192205963339001"/>
    <d v="2023-03-14T00:00:00"/>
    <n v="0.20150857478536399"/>
  </r>
  <r>
    <s v="xgxazdwr"/>
    <x v="7"/>
    <x v="5"/>
    <d v="2021-11-14T00:00:00"/>
    <n v="7"/>
    <n v="0.38563992038543599"/>
    <d v="2023-03-19T00:00:00"/>
    <n v="0.508902669316179"/>
  </r>
  <r>
    <s v="ypdwpcvo"/>
    <x v="7"/>
    <x v="5"/>
    <d v="2022-05-13T00:00:00"/>
    <n v="3"/>
    <n v="0.27727516856333601"/>
    <d v="2023-04-20T00:00:00"/>
    <n v="0.34199564672456301"/>
  </r>
  <r>
    <s v="cnitsbpk"/>
    <x v="8"/>
    <x v="6"/>
    <d v="2021-04-08T00:00:00"/>
    <n v="5"/>
    <n v="0.42202075102150899"/>
    <d v="2023-05-10T00:00:00"/>
    <n v="0.38793156543941099"/>
  </r>
  <r>
    <s v="gsarsxnf"/>
    <x v="8"/>
    <x v="6"/>
    <d v="2022-06-13T00:00:00"/>
    <n v="7"/>
    <n v="0.97988976578176401"/>
    <d v="2023-05-05T00:00:00"/>
    <n v="4.3763329833777703E-2"/>
  </r>
  <r>
    <s v="jszxcuxx"/>
    <x v="8"/>
    <x v="6"/>
    <d v="2022-08-13T00:00:00"/>
    <n v="7"/>
    <n v="1.31744392227479E-2"/>
    <d v="2023-04-14T00:00:00"/>
    <n v="0.97185682841004495"/>
  </r>
  <r>
    <s v="nzyednpn"/>
    <x v="8"/>
    <x v="6"/>
    <d v="2022-09-06T00:00:00"/>
    <n v="10"/>
    <n v="8.0126723415399101E-2"/>
    <d v="2023-02-16T00:00:00"/>
    <n v="0.51635999068168204"/>
  </r>
  <r>
    <s v="pxzcvvvv"/>
    <x v="8"/>
    <x v="6"/>
    <d v="2022-06-21T00:00:00"/>
    <n v="9"/>
    <n v="0.32825674154548301"/>
    <d v="2023-02-24T00:00:00"/>
    <n v="0.48045519677837101"/>
  </r>
  <r>
    <s v="qklyndfp"/>
    <x v="8"/>
    <x v="6"/>
    <d v="2022-04-10T00:00:00"/>
    <n v="5"/>
    <n v="0.90898321519765801"/>
    <d v="2023-05-21T00:00:00"/>
    <n v="0.71076510162728801"/>
  </r>
  <r>
    <s v="ysndnwiy"/>
    <x v="8"/>
    <x v="6"/>
    <d v="2022-02-14T00:00:00"/>
    <n v="6"/>
    <n v="0.64447099494037297"/>
    <d v="2023-02-18T00:00:00"/>
    <n v="0.96567027076396705"/>
  </r>
  <r>
    <s v="zrgkwdyf"/>
    <x v="8"/>
    <x v="6"/>
    <d v="2021-08-04T00:00:00"/>
    <n v="5"/>
    <n v="0.24147425161639699"/>
    <d v="2023-03-20T00:00:00"/>
    <n v="0.23302367858983999"/>
  </r>
  <r>
    <s v="agfgcfxt"/>
    <x v="9"/>
    <x v="7"/>
    <d v="2022-10-07T00:00:00"/>
    <n v="7"/>
    <n v="0.28318547112501802"/>
    <d v="2023-06-15T00:00:00"/>
    <n v="0.557129814707503"/>
  </r>
  <r>
    <s v="almuieaq"/>
    <x v="10"/>
    <x v="7"/>
    <d v="2021-11-19T00:00:00"/>
    <n v="6"/>
    <n v="0.98092817996517101"/>
    <d v="2023-02-11T00:00:00"/>
    <n v="0.72256312699759195"/>
  </r>
  <r>
    <s v="bbjeprsq"/>
    <x v="9"/>
    <x v="7"/>
    <d v="2021-06-04T00:00:00"/>
    <n v="9"/>
    <n v="0.55179844990216698"/>
    <d v="2023-02-20T00:00:00"/>
    <n v="0.19789786446941801"/>
  </r>
  <r>
    <s v="bumcnvke"/>
    <x v="9"/>
    <x v="7"/>
    <d v="2021-12-13T00:00:00"/>
    <n v="10"/>
    <n v="0.638981266676107"/>
    <d v="2023-04-15T00:00:00"/>
    <n v="0.77496721699985804"/>
  </r>
  <r>
    <s v="cesjzpbs"/>
    <x v="9"/>
    <x v="7"/>
    <d v="2022-12-30T00:00:00"/>
    <n v="8"/>
    <n v="0.34625418958602699"/>
    <d v="2023-04-18T00:00:00"/>
    <n v="0.71065052633396197"/>
  </r>
  <r>
    <s v="cwuqczya"/>
    <x v="10"/>
    <x v="7"/>
    <d v="2021-01-09T00:00:00"/>
    <n v="1"/>
    <n v="0.33608049957319502"/>
    <d v="2023-05-21T00:00:00"/>
    <n v="0.632173644236244"/>
  </r>
  <r>
    <s v="dcplrgaa"/>
    <x v="9"/>
    <x v="7"/>
    <d v="2021-04-17T00:00:00"/>
    <n v="9"/>
    <n v="0.84008770787604403"/>
    <d v="2023-03-26T00:00:00"/>
    <n v="0.55247139186324401"/>
  </r>
  <r>
    <s v="egvfikiy"/>
    <x v="9"/>
    <x v="7"/>
    <d v="2021-10-23T00:00:00"/>
    <n v="1"/>
    <n v="0.27554760755730201"/>
    <d v="2023-05-03T00:00:00"/>
    <n v="0.19858809226913399"/>
  </r>
  <r>
    <s v="eknpqcge"/>
    <x v="9"/>
    <x v="7"/>
    <d v="2021-11-23T00:00:00"/>
    <n v="3"/>
    <n v="0.15183590676997499"/>
    <d v="2023-04-20T00:00:00"/>
    <n v="0.96263635120934099"/>
  </r>
  <r>
    <s v="giuqiukz"/>
    <x v="9"/>
    <x v="7"/>
    <d v="2022-08-22T00:00:00"/>
    <n v="1"/>
    <n v="0.71704537744139196"/>
    <d v="2023-04-06T00:00:00"/>
    <n v="0.16233553287650401"/>
  </r>
  <r>
    <s v="jarhgmub"/>
    <x v="9"/>
    <x v="7"/>
    <d v="2022-11-24T00:00:00"/>
    <n v="4"/>
    <n v="0.64606533640427699"/>
    <d v="2023-02-20T00:00:00"/>
    <n v="0.75502767909149604"/>
  </r>
  <r>
    <s v="kcqqvvon"/>
    <x v="10"/>
    <x v="7"/>
    <d v="2022-08-21T00:00:00"/>
    <n v="3"/>
    <n v="0.71512622981990404"/>
    <d v="2023-04-07T00:00:00"/>
    <n v="2.82332058926804E-3"/>
  </r>
  <r>
    <s v="knifvikn"/>
    <x v="9"/>
    <x v="7"/>
    <d v="2021-05-27T00:00:00"/>
    <n v="6"/>
    <n v="0.64559425958074801"/>
    <d v="2023-05-11T00:00:00"/>
    <n v="0.74976354481356899"/>
  </r>
  <r>
    <s v="lenpuaop"/>
    <x v="10"/>
    <x v="7"/>
    <d v="2021-03-30T00:00:00"/>
    <n v="7"/>
    <n v="0.27349998025771599"/>
    <d v="2023-05-10T00:00:00"/>
    <n v="0.398707058551939"/>
  </r>
  <r>
    <s v="loffykcg"/>
    <x v="9"/>
    <x v="7"/>
    <d v="2021-01-10T00:00:00"/>
    <n v="2"/>
    <n v="0.90504227111458202"/>
    <d v="2023-01-31T00:00:00"/>
    <n v="0.45883084719257899"/>
  </r>
  <r>
    <s v="mkxkerbr"/>
    <x v="10"/>
    <x v="7"/>
    <d v="2021-12-04T00:00:00"/>
    <n v="5"/>
    <n v="0.18484009932934201"/>
    <d v="2023-01-26T00:00:00"/>
    <n v="0.17511595791935999"/>
  </r>
  <r>
    <s v="pswtoazn"/>
    <x v="9"/>
    <x v="7"/>
    <d v="2022-08-28T00:00:00"/>
    <n v="6"/>
    <n v="0.103932010083317"/>
    <d v="2023-02-28T00:00:00"/>
    <n v="6.0761804468123501E-5"/>
  </r>
  <r>
    <s v="pxkjcmpp"/>
    <x v="10"/>
    <x v="7"/>
    <d v="2022-01-28T00:00:00"/>
    <n v="3"/>
    <n v="0.33696098865178298"/>
    <d v="2023-04-18T00:00:00"/>
    <n v="0.68587611661549097"/>
  </r>
  <r>
    <s v="rcmrnpig"/>
    <x v="10"/>
    <x v="7"/>
    <d v="2021-01-27T00:00:00"/>
    <n v="10"/>
    <n v="4.84656763549157E-2"/>
    <d v="2023-04-25T00:00:00"/>
    <n v="0.76568330987062005"/>
  </r>
  <r>
    <s v="uiytklhp"/>
    <x v="9"/>
    <x v="7"/>
    <d v="2022-01-19T00:00:00"/>
    <n v="2"/>
    <n v="0.47294292208057698"/>
    <d v="2023-04-07T00:00:00"/>
    <n v="0.79212265204075905"/>
  </r>
  <r>
    <s v="umdvcmek"/>
    <x v="9"/>
    <x v="7"/>
    <d v="2022-02-13T00:00:00"/>
    <n v="2"/>
    <n v="0.95827680251471803"/>
    <d v="2023-03-24T00:00:00"/>
    <n v="0.89660265479322399"/>
  </r>
  <r>
    <s v="vjtxbscg"/>
    <x v="9"/>
    <x v="7"/>
    <d v="2022-05-30T00:00:00"/>
    <n v="3"/>
    <n v="5.2479096578398297E-2"/>
    <d v="2023-05-23T00:00:00"/>
    <n v="5.8390055671951401E-2"/>
  </r>
  <r>
    <s v="yjrqvwdc"/>
    <x v="10"/>
    <x v="7"/>
    <d v="2022-11-18T00:00:00"/>
    <n v="1"/>
    <n v="0.30777843623572698"/>
    <d v="2023-02-06T00:00:00"/>
    <n v="0.172453184843159"/>
  </r>
  <r>
    <s v="yrvvdedn"/>
    <x v="9"/>
    <x v="7"/>
    <d v="2021-01-03T00:00:00"/>
    <n v="2"/>
    <n v="0.22356266053190499"/>
    <d v="2023-01-25T00:00:00"/>
    <n v="0.43217504342818902"/>
  </r>
  <r>
    <s v="aieoltom"/>
    <x v="11"/>
    <x v="8"/>
    <d v="2021-01-04T00:00:00"/>
    <n v="2"/>
    <n v="0.64142747007026002"/>
    <d v="2023-04-23T00:00:00"/>
    <n v="0.88983597888511301"/>
  </r>
  <r>
    <s v="fucpzbpk"/>
    <x v="11"/>
    <x v="8"/>
    <d v="2022-12-03T00:00:00"/>
    <n v="4"/>
    <n v="0.70777097045034598"/>
    <d v="2023-02-12T00:00:00"/>
    <n v="0.29010240599643"/>
  </r>
  <r>
    <s v="gcndrwci"/>
    <x v="11"/>
    <x v="8"/>
    <d v="2022-12-26T00:00:00"/>
    <n v="10"/>
    <n v="0.20148931810460499"/>
    <d v="2023-04-11T00:00:00"/>
    <n v="0.37346939187061601"/>
  </r>
  <r>
    <s v="iagrfath"/>
    <x v="11"/>
    <x v="8"/>
    <d v="2022-10-26T00:00:00"/>
    <n v="8"/>
    <n v="0.585256316656942"/>
    <d v="2023-04-25T00:00:00"/>
    <n v="0.63534355964006295"/>
  </r>
  <r>
    <s v="orgnwenh"/>
    <x v="11"/>
    <x v="8"/>
    <d v="2022-01-17T00:00:00"/>
    <n v="2"/>
    <n v="0.19124266932346201"/>
    <d v="2023-01-27T00:00:00"/>
    <n v="0.44988838372928502"/>
  </r>
  <r>
    <s v="qdqbwhng"/>
    <x v="11"/>
    <x v="8"/>
    <d v="2021-03-17T00:00:00"/>
    <n v="6"/>
    <n v="5.4464754581670202E-2"/>
    <d v="2023-03-28T00:00:00"/>
    <n v="0.49434155447053002"/>
  </r>
  <r>
    <s v="tuneagik"/>
    <x v="11"/>
    <x v="8"/>
    <d v="2022-07-24T00:00:00"/>
    <n v="3"/>
    <n v="0.273622029983696"/>
    <d v="2023-04-10T00:00:00"/>
    <n v="0.28004873586635498"/>
  </r>
  <r>
    <s v="xmfevyrg"/>
    <x v="11"/>
    <x v="8"/>
    <d v="2021-04-03T00:00:00"/>
    <n v="5"/>
    <n v="0.28334897654743202"/>
    <d v="2023-02-08T00:00:00"/>
    <n v="0.63454053513977304"/>
  </r>
  <r>
    <s v="ciykrilb"/>
    <x v="12"/>
    <x v="9"/>
    <d v="2022-12-27T00:00:00"/>
    <n v="8"/>
    <n v="0.72895214290311094"/>
    <d v="2023-03-15T00:00:00"/>
    <n v="0.22418004410534101"/>
  </r>
  <r>
    <s v="cymioqte"/>
    <x v="12"/>
    <x v="9"/>
    <d v="2021-07-08T00:00:00"/>
    <n v="1"/>
    <n v="0.66879924137456503"/>
    <d v="2023-04-03T00:00:00"/>
    <n v="0.97050369055421803"/>
  </r>
  <r>
    <s v="gfiuzniq"/>
    <x v="12"/>
    <x v="9"/>
    <d v="2022-05-27T00:00:00"/>
    <n v="6"/>
    <n v="3.5993791246495099E-2"/>
    <d v="2023-02-28T00:00:00"/>
    <n v="0.97861539568179701"/>
  </r>
  <r>
    <s v="hmtiybmi"/>
    <x v="12"/>
    <x v="9"/>
    <d v="2022-04-16T00:00:00"/>
    <n v="2"/>
    <n v="1.4798370860461801E-2"/>
    <d v="2023-03-26T00:00:00"/>
    <n v="0.65581817056759795"/>
  </r>
  <r>
    <s v="koqfbdwf"/>
    <x v="12"/>
    <x v="9"/>
    <d v="2021-06-06T00:00:00"/>
    <n v="8"/>
    <n v="0.74864767306151003"/>
    <d v="2023-05-29T00:00:00"/>
    <n v="0.91487830622236999"/>
  </r>
  <r>
    <s v="ossshndu"/>
    <x v="12"/>
    <x v="9"/>
    <d v="2021-05-08T00:00:00"/>
    <n v="9"/>
    <n v="0.70237024955138705"/>
    <d v="2023-04-23T00:00:00"/>
    <n v="0.23474526869976101"/>
  </r>
  <r>
    <s v="xbcdvdtp"/>
    <x v="12"/>
    <x v="9"/>
    <d v="2021-02-02T00:00:00"/>
    <n v="3"/>
    <n v="0.84716039463076198"/>
    <d v="2023-05-21T00:00:00"/>
    <n v="1.3086187744415801E-2"/>
  </r>
  <r>
    <s v="ynrcizqr"/>
    <x v="12"/>
    <x v="9"/>
    <d v="2021-07-26T00:00:00"/>
    <n v="6"/>
    <n v="0.83300140406454304"/>
    <d v="2023-04-10T00:00:00"/>
    <n v="0.70242147925557197"/>
  </r>
  <r>
    <s v="cetffxgx"/>
    <x v="13"/>
    <x v="10"/>
    <d v="2021-06-08T00:00:00"/>
    <n v="6"/>
    <n v="0.36584758654187899"/>
    <d v="2023-04-07T00:00:00"/>
    <n v="0.45311698845143"/>
  </r>
  <r>
    <s v="hutszssu"/>
    <x v="13"/>
    <x v="10"/>
    <d v="2021-04-29T00:00:00"/>
    <n v="7"/>
    <n v="0.73835370024837998"/>
    <d v="2023-04-04T00:00:00"/>
    <n v="0.10264222958663"/>
  </r>
  <r>
    <s v="njxhycea"/>
    <x v="13"/>
    <x v="10"/>
    <d v="2022-02-13T00:00:00"/>
    <n v="5"/>
    <n v="0.17493546348643599"/>
    <d v="2023-03-16T00:00:00"/>
    <n v="0.83666855090333903"/>
  </r>
  <r>
    <s v="nqgoiuik"/>
    <x v="13"/>
    <x v="10"/>
    <d v="2021-03-08T00:00:00"/>
    <n v="1"/>
    <n v="0.30953917056170199"/>
    <d v="2023-05-12T00:00:00"/>
    <n v="0.66043948995340296"/>
  </r>
  <r>
    <s v="unxxstxp"/>
    <x v="13"/>
    <x v="10"/>
    <d v="2022-02-12T00:00:00"/>
    <n v="2"/>
    <n v="0.27963347908695002"/>
    <d v="2023-01-23T00:00:00"/>
    <n v="0.24854191017697499"/>
  </r>
  <r>
    <s v="xslzwome"/>
    <x v="13"/>
    <x v="10"/>
    <d v="2022-08-17T00:00:00"/>
    <n v="5"/>
    <n v="0.76783916519082696"/>
    <d v="2023-04-05T00:00:00"/>
    <n v="0.24099871039557799"/>
  </r>
  <r>
    <s v="xydeqivj"/>
    <x v="13"/>
    <x v="10"/>
    <d v="2022-07-24T00:00:00"/>
    <n v="2"/>
    <n v="0.14806713315151801"/>
    <d v="2023-05-05T00:00:00"/>
    <n v="0.312315972509696"/>
  </r>
  <r>
    <s v="ybasexlh"/>
    <x v="13"/>
    <x v="10"/>
    <d v="2022-01-16T00:00:00"/>
    <n v="7"/>
    <n v="7.8885651390256904E-3"/>
    <d v="2023-04-21T00:00:00"/>
    <n v="0.42001946730883299"/>
  </r>
  <r>
    <s v="beszhcyh"/>
    <x v="14"/>
    <x v="11"/>
    <d v="2022-01-23T00:00:00"/>
    <n v="4"/>
    <n v="0.13652069785058399"/>
    <d v="2023-03-06T00:00:00"/>
    <n v="0.38969057106772598"/>
  </r>
  <r>
    <s v="chhqshvn"/>
    <x v="14"/>
    <x v="11"/>
    <d v="2022-05-29T00:00:00"/>
    <n v="6"/>
    <n v="0.379060395757914"/>
    <d v="2023-02-20T00:00:00"/>
    <n v="0.31616207722275602"/>
  </r>
  <r>
    <s v="hkesgmfj"/>
    <x v="14"/>
    <x v="11"/>
    <d v="2021-03-23T00:00:00"/>
    <n v="4"/>
    <n v="0.27577765609607802"/>
    <d v="2023-05-25T00:00:00"/>
    <n v="0.84349820990746505"/>
  </r>
  <r>
    <s v="ifomvwpk"/>
    <x v="14"/>
    <x v="11"/>
    <d v="2021-05-31T00:00:00"/>
    <n v="1"/>
    <n v="0.48588703608226103"/>
    <d v="2023-04-19T00:00:00"/>
    <n v="0.45518918214522902"/>
  </r>
  <r>
    <s v="pywztrno"/>
    <x v="14"/>
    <x v="11"/>
    <d v="2022-08-19T00:00:00"/>
    <n v="1"/>
    <n v="0.87147093954098998"/>
    <d v="2023-02-10T00:00:00"/>
    <n v="0.35443622359295701"/>
  </r>
  <r>
    <s v="tjtyuhoi"/>
    <x v="14"/>
    <x v="11"/>
    <d v="2022-06-22T00:00:00"/>
    <n v="10"/>
    <n v="5.8312359538940997E-2"/>
    <d v="2023-04-25T00:00:00"/>
    <n v="0.50418526458823998"/>
  </r>
  <r>
    <s v="ynqvlbrq"/>
    <x v="14"/>
    <x v="11"/>
    <d v="2021-01-18T00:00:00"/>
    <n v="5"/>
    <n v="0.1874453216227"/>
    <d v="2023-02-04T00:00:00"/>
    <n v="0.22911064366850301"/>
  </r>
  <r>
    <s v="zhhtkovi"/>
    <x v="14"/>
    <x v="11"/>
    <d v="2021-09-18T00:00:00"/>
    <n v="3"/>
    <n v="0.48376018648020602"/>
    <d v="2023-02-26T00:00:00"/>
    <n v="0.28976743361438201"/>
  </r>
  <r>
    <s v="bdkloegq"/>
    <x v="15"/>
    <x v="12"/>
    <d v="2021-10-31T00:00:00"/>
    <n v="3"/>
    <n v="0.100945559071712"/>
    <d v="2023-01-04T00:00:00"/>
    <n v="0.407405377776074"/>
  </r>
  <r>
    <s v="ebkkmqbi"/>
    <x v="15"/>
    <x v="12"/>
    <d v="2022-02-07T00:00:00"/>
    <n v="7"/>
    <n v="0.81200798012546904"/>
    <d v="2023-05-18T00:00:00"/>
    <n v="0.26150647842758601"/>
  </r>
  <r>
    <s v="hdpggnqd"/>
    <x v="15"/>
    <x v="12"/>
    <d v="2021-11-02T00:00:00"/>
    <n v="3"/>
    <n v="6.7860349366877903E-2"/>
    <d v="2023-04-10T00:00:00"/>
    <n v="0.67274821533457596"/>
  </r>
  <r>
    <s v="hfwtmipz"/>
    <x v="15"/>
    <x v="12"/>
    <d v="2022-09-12T00:00:00"/>
    <n v="7"/>
    <n v="1.4827494446379701E-2"/>
    <d v="2023-02-21T00:00:00"/>
    <n v="0.41833053891377597"/>
  </r>
  <r>
    <s v="pberstsl"/>
    <x v="15"/>
    <x v="12"/>
    <d v="2021-09-25T00:00:00"/>
    <n v="1"/>
    <n v="0.47664293083306503"/>
    <d v="2023-03-13T00:00:00"/>
    <n v="0.23032087534575099"/>
  </r>
  <r>
    <s v="tsrjnkjg"/>
    <x v="15"/>
    <x v="12"/>
    <d v="2021-12-04T00:00:00"/>
    <n v="1"/>
    <n v="0.29181649358212502"/>
    <d v="2023-01-18T00:00:00"/>
    <n v="0.59525600260086198"/>
  </r>
  <r>
    <s v="wgzgfkki"/>
    <x v="15"/>
    <x v="12"/>
    <d v="2021-08-31T00:00:00"/>
    <n v="8"/>
    <n v="0.59735476523394404"/>
    <d v="2023-02-25T00:00:00"/>
    <n v="0.16822758298431501"/>
  </r>
  <r>
    <s v="wiujcxll"/>
    <x v="15"/>
    <x v="12"/>
    <d v="2021-09-10T00:00:00"/>
    <n v="6"/>
    <n v="0.26280269378864801"/>
    <d v="2023-03-29T00:00:00"/>
    <n v="0.14823080489066301"/>
  </r>
  <r>
    <s v="apxkynfx"/>
    <x v="16"/>
    <x v="13"/>
    <d v="2022-04-13T00:00:00"/>
    <n v="1"/>
    <n v="0.46027529609517198"/>
    <d v="2023-02-14T00:00:00"/>
    <n v="0.82793169583258497"/>
  </r>
  <r>
    <s v="fipcayvv"/>
    <x v="16"/>
    <x v="13"/>
    <d v="2021-12-24T00:00:00"/>
    <n v="8"/>
    <n v="0.68255570090641804"/>
    <d v="2023-03-03T00:00:00"/>
    <n v="0.60454082217188998"/>
  </r>
  <r>
    <s v="hfdavabb"/>
    <x v="16"/>
    <x v="13"/>
    <d v="2021-05-27T00:00:00"/>
    <n v="1"/>
    <n v="0.83003541427247696"/>
    <d v="2023-02-08T00:00:00"/>
    <n v="0.52621974753425005"/>
  </r>
  <r>
    <s v="hfjghpbq"/>
    <x v="16"/>
    <x v="13"/>
    <d v="2021-07-05T00:00:00"/>
    <n v="9"/>
    <n v="0.13503720101241901"/>
    <d v="2023-04-01T00:00:00"/>
    <n v="0.85749627053317901"/>
  </r>
  <r>
    <s v="jxgqnvpx"/>
    <x v="16"/>
    <x v="13"/>
    <d v="2021-12-24T00:00:00"/>
    <n v="6"/>
    <n v="0.15491081045699601"/>
    <d v="2023-05-18T00:00:00"/>
    <n v="0.76802453424894601"/>
  </r>
  <r>
    <s v="olnjegug"/>
    <x v="16"/>
    <x v="13"/>
    <d v="2022-05-28T00:00:00"/>
    <n v="8"/>
    <n v="0.34324624551472199"/>
    <d v="2023-02-23T00:00:00"/>
    <n v="5.5941217861464797E-2"/>
  </r>
  <r>
    <s v="pyljmfku"/>
    <x v="16"/>
    <x v="13"/>
    <d v="2022-11-14T00:00:00"/>
    <n v="10"/>
    <n v="0.47307005712237998"/>
    <d v="2023-01-11T00:00:00"/>
    <n v="0.10169187940690801"/>
  </r>
  <r>
    <s v="wzerurjz"/>
    <x v="16"/>
    <x v="13"/>
    <d v="2021-02-14T00:00:00"/>
    <n v="6"/>
    <n v="0.98199261995326603"/>
    <d v="2023-03-09T00:00:00"/>
    <n v="0.54481123922804697"/>
  </r>
  <r>
    <s v="ewzlrcco"/>
    <x v="17"/>
    <x v="14"/>
    <d v="2021-12-11T00:00:00"/>
    <n v="9"/>
    <n v="0.215773738787989"/>
    <d v="2023-04-24T00:00:00"/>
    <n v="0.54884364241615202"/>
  </r>
  <r>
    <s v="fjhbimle"/>
    <x v="17"/>
    <x v="14"/>
    <d v="2022-10-04T00:00:00"/>
    <n v="4"/>
    <n v="0.86036052556079601"/>
    <d v="2023-02-11T00:00:00"/>
    <n v="0.75556235613803402"/>
  </r>
  <r>
    <s v="kmlcsefq"/>
    <x v="17"/>
    <x v="14"/>
    <d v="2022-10-18T00:00:00"/>
    <n v="5"/>
    <n v="0.32415684712172899"/>
    <d v="2023-05-05T00:00:00"/>
    <n v="0.28398523541759901"/>
  </r>
  <r>
    <s v="nheepbxg"/>
    <x v="17"/>
    <x v="14"/>
    <d v="2022-12-26T00:00:00"/>
    <n v="10"/>
    <n v="0.68735083469695002"/>
    <d v="2023-03-05T00:00:00"/>
    <n v="0.41787841201432302"/>
  </r>
  <r>
    <s v="rfngluke"/>
    <x v="17"/>
    <x v="14"/>
    <d v="2022-02-24T00:00:00"/>
    <n v="10"/>
    <n v="0.29076178482231801"/>
    <d v="2023-01-19T00:00:00"/>
    <n v="0.33143123502147698"/>
  </r>
  <r>
    <s v="seszlhqz"/>
    <x v="17"/>
    <x v="14"/>
    <d v="2022-09-11T00:00:00"/>
    <n v="3"/>
    <n v="0.44727279397540398"/>
    <d v="2023-02-04T00:00:00"/>
    <n v="0.72124646028638995"/>
  </r>
  <r>
    <s v="ydcmffnz"/>
    <x v="17"/>
    <x v="14"/>
    <d v="2021-08-08T00:00:00"/>
    <n v="7"/>
    <n v="6.5026558074850402E-2"/>
    <d v="2023-03-20T00:00:00"/>
    <n v="0.566596656084567"/>
  </r>
  <r>
    <s v="zsylhezi"/>
    <x v="17"/>
    <x v="14"/>
    <d v="2022-06-30T00:00:00"/>
    <n v="9"/>
    <n v="0.30094368268289601"/>
    <d v="2023-04-21T00:00:00"/>
    <n v="0.55983002083455202"/>
  </r>
  <r>
    <s v="dcnexoao"/>
    <x v="18"/>
    <x v="15"/>
    <d v="2021-08-10T00:00:00"/>
    <n v="1"/>
    <n v="0.94855371414201095"/>
    <d v="2023-02-07T00:00:00"/>
    <n v="0.335795433783181"/>
  </r>
  <r>
    <s v="emjmheht"/>
    <x v="18"/>
    <x v="15"/>
    <d v="2022-02-02T00:00:00"/>
    <n v="7"/>
    <n v="8.2508842921547004E-2"/>
    <d v="2023-02-24T00:00:00"/>
    <n v="0.90723039307728803"/>
  </r>
  <r>
    <s v="hdslpwul"/>
    <x v="18"/>
    <x v="15"/>
    <d v="2021-12-30T00:00:00"/>
    <n v="9"/>
    <n v="0.407593318710052"/>
    <d v="2023-03-03T00:00:00"/>
    <n v="0.63816582309695902"/>
  </r>
  <r>
    <s v="hflsqchs"/>
    <x v="18"/>
    <x v="15"/>
    <d v="2022-04-29T00:00:00"/>
    <n v="2"/>
    <n v="0.18457397753690899"/>
    <d v="2023-03-19T00:00:00"/>
    <n v="0.74032989684219797"/>
  </r>
  <r>
    <s v="poohpdwc"/>
    <x v="18"/>
    <x v="15"/>
    <d v="2022-03-05T00:00:00"/>
    <n v="4"/>
    <n v="0.93532778717298004"/>
    <d v="2023-01-07T00:00:00"/>
    <n v="2.9378328012187802E-2"/>
  </r>
  <r>
    <s v="sejklwar"/>
    <x v="18"/>
    <x v="15"/>
    <d v="2021-12-05T00:00:00"/>
    <n v="6"/>
    <n v="8.1168066351901699E-2"/>
    <d v="2023-03-19T00:00:00"/>
    <n v="0.51544985308443603"/>
  </r>
  <r>
    <s v="tsmbtvip"/>
    <x v="18"/>
    <x v="15"/>
    <d v="2021-10-11T00:00:00"/>
    <n v="7"/>
    <n v="0.717702757066082"/>
    <d v="2023-01-10T00:00:00"/>
    <n v="0.1182538345041"/>
  </r>
  <r>
    <s v="wgpoqytj"/>
    <x v="18"/>
    <x v="15"/>
    <d v="2021-01-08T00:00:00"/>
    <n v="2"/>
    <n v="0.43098053100217298"/>
    <d v="2023-01-22T00:00:00"/>
    <n v="0.43731221847381901"/>
  </r>
  <r>
    <s v="dlgsjszn"/>
    <x v="19"/>
    <x v="16"/>
    <d v="2022-08-13T00:00:00"/>
    <n v="3"/>
    <n v="0.70520735936114698"/>
    <d v="2023-04-07T00:00:00"/>
    <n v="0.85427426099032899"/>
  </r>
  <r>
    <s v="frlnnmpc"/>
    <x v="20"/>
    <x v="16"/>
    <d v="2022-01-18T00:00:00"/>
    <n v="10"/>
    <n v="0.93792316902615502"/>
    <d v="2023-05-15T00:00:00"/>
    <n v="0.45551581516099299"/>
  </r>
  <r>
    <s v="fzpkolfu"/>
    <x v="20"/>
    <x v="16"/>
    <d v="2021-04-29T00:00:00"/>
    <n v="10"/>
    <n v="0.32809052787687998"/>
    <d v="2023-05-12T00:00:00"/>
    <n v="0.53620178529362506"/>
  </r>
  <r>
    <s v="heuzjzpi"/>
    <x v="19"/>
    <x v="16"/>
    <d v="2021-06-14T00:00:00"/>
    <n v="4"/>
    <n v="0.52920695915069904"/>
    <d v="2023-02-19T00:00:00"/>
    <n v="0.13238552807963799"/>
  </r>
  <r>
    <s v="iztdnkqz"/>
    <x v="20"/>
    <x v="16"/>
    <d v="2022-08-27T00:00:00"/>
    <n v="4"/>
    <n v="0.89057060464664195"/>
    <d v="2023-03-19T00:00:00"/>
    <n v="0.24766978894018499"/>
  </r>
  <r>
    <s v="jhrvrggo"/>
    <x v="19"/>
    <x v="16"/>
    <d v="2022-07-10T00:00:00"/>
    <n v="1"/>
    <n v="0.144587962809021"/>
    <d v="2023-02-17T00:00:00"/>
    <n v="0.22337306376263399"/>
  </r>
  <r>
    <s v="krqkwnaw"/>
    <x v="19"/>
    <x v="16"/>
    <d v="2022-02-08T00:00:00"/>
    <n v="1"/>
    <n v="0.58372843681935904"/>
    <d v="2023-03-12T00:00:00"/>
    <n v="0.38186645762982302"/>
  </r>
  <r>
    <s v="maizvkuo"/>
    <x v="20"/>
    <x v="16"/>
    <d v="2021-06-19T00:00:00"/>
    <n v="2"/>
    <n v="0.256532208615462"/>
    <d v="2023-02-18T00:00:00"/>
    <n v="0.25683090454434099"/>
  </r>
  <r>
    <s v="nriklgrf"/>
    <x v="19"/>
    <x v="16"/>
    <d v="2021-08-14T00:00:00"/>
    <n v="10"/>
    <n v="0.62147829765565299"/>
    <d v="2023-04-29T00:00:00"/>
    <n v="0.44466276095616802"/>
  </r>
  <r>
    <s v="pcifviip"/>
    <x v="19"/>
    <x v="16"/>
    <d v="2022-01-20T00:00:00"/>
    <n v="8"/>
    <n v="0.52894618812607497"/>
    <d v="2023-03-13T00:00:00"/>
    <n v="0.14894391596640999"/>
  </r>
  <r>
    <s v="rgbcrwet"/>
    <x v="20"/>
    <x v="16"/>
    <d v="2021-07-21T00:00:00"/>
    <n v="6"/>
    <n v="0.74483031602755301"/>
    <d v="2023-05-21T00:00:00"/>
    <n v="0.45618689536000101"/>
  </r>
  <r>
    <s v="rypujago"/>
    <x v="19"/>
    <x v="16"/>
    <d v="2021-01-29T00:00:00"/>
    <n v="7"/>
    <n v="0.47691846634392299"/>
    <d v="2023-02-24T00:00:00"/>
    <n v="0.46204966570717498"/>
  </r>
  <r>
    <s v="upcbwvls"/>
    <x v="19"/>
    <x v="16"/>
    <d v="2021-03-02T00:00:00"/>
    <n v="8"/>
    <n v="0.434644149591145"/>
    <d v="2023-01-29T00:00:00"/>
    <n v="0.625342854199327"/>
  </r>
  <r>
    <s v="waxzujox"/>
    <x v="20"/>
    <x v="16"/>
    <d v="2022-12-02T00:00:00"/>
    <n v="3"/>
    <n v="0.95057620706778501"/>
    <d v="2023-04-24T00:00:00"/>
    <n v="0.96163422719710601"/>
  </r>
  <r>
    <s v="xkdlzakx"/>
    <x v="20"/>
    <x v="16"/>
    <d v="2021-04-23T00:00:00"/>
    <n v="8"/>
    <n v="0.85335977277591302"/>
    <d v="2023-04-05T00:00:00"/>
    <n v="0.99207281995433205"/>
  </r>
  <r>
    <s v="xmzhzbvl"/>
    <x v="20"/>
    <x v="16"/>
    <d v="2022-01-11T00:00:00"/>
    <n v="3"/>
    <n v="0.117748642112043"/>
    <d v="2023-05-27T00:00:00"/>
    <n v="0.670924309056170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A63AF-736E-448B-B7D4-93188353F4C3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C42" firstHeaderRow="1" firstDataRow="1" firstDataCol="2"/>
  <pivotFields count="8">
    <pivotField compact="0" showAll="0"/>
    <pivotField axis="axisRow" compact="0" showAll="0">
      <items count="22">
        <item x="0"/>
        <item x="1"/>
        <item x="9"/>
        <item x="7"/>
        <item x="5"/>
        <item x="8"/>
        <item x="12"/>
        <item x="14"/>
        <item x="15"/>
        <item x="18"/>
        <item x="19"/>
        <item x="6"/>
        <item x="10"/>
        <item x="20"/>
        <item x="13"/>
        <item x="3"/>
        <item x="4"/>
        <item x="16"/>
        <item x="17"/>
        <item x="11"/>
        <item x="2"/>
        <item t="default"/>
      </items>
    </pivotField>
    <pivotField axis="axisRow"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numFmtId="14" showAll="0"/>
    <pivotField dataField="1" compact="0" showAll="0"/>
    <pivotField compact="0" showAll="0"/>
    <pivotField compact="0" numFmtId="14" showAll="0"/>
    <pivotField compact="0" showAll="0"/>
  </pivotFields>
  <rowFields count="2">
    <field x="2"/>
    <field x="1"/>
  </rowFields>
  <rowItems count="39">
    <i>
      <x/>
    </i>
    <i r="1">
      <x/>
    </i>
    <i>
      <x v="1"/>
    </i>
    <i r="1">
      <x v="1"/>
    </i>
    <i>
      <x v="2"/>
    </i>
    <i r="1">
      <x v="20"/>
    </i>
    <i>
      <x v="3"/>
    </i>
    <i r="1">
      <x v="15"/>
    </i>
    <i r="1">
      <x v="16"/>
    </i>
    <i>
      <x v="4"/>
    </i>
    <i r="1">
      <x v="4"/>
    </i>
    <i r="1">
      <x v="11"/>
    </i>
    <i>
      <x v="5"/>
    </i>
    <i r="1">
      <x v="3"/>
    </i>
    <i>
      <x v="6"/>
    </i>
    <i r="1">
      <x v="5"/>
    </i>
    <i>
      <x v="7"/>
    </i>
    <i r="1">
      <x v="2"/>
    </i>
    <i r="1">
      <x v="12"/>
    </i>
    <i>
      <x v="8"/>
    </i>
    <i r="1">
      <x v="19"/>
    </i>
    <i>
      <x v="9"/>
    </i>
    <i r="1">
      <x v="6"/>
    </i>
    <i>
      <x v="10"/>
    </i>
    <i r="1">
      <x v="14"/>
    </i>
    <i>
      <x v="11"/>
    </i>
    <i r="1">
      <x v="7"/>
    </i>
    <i>
      <x v="12"/>
    </i>
    <i r="1">
      <x v="8"/>
    </i>
    <i>
      <x v="13"/>
    </i>
    <i r="1">
      <x v="17"/>
    </i>
    <i>
      <x v="14"/>
    </i>
    <i r="1">
      <x v="18"/>
    </i>
    <i>
      <x v="15"/>
    </i>
    <i r="1">
      <x v="9"/>
    </i>
    <i>
      <x v="16"/>
    </i>
    <i r="1">
      <x v="10"/>
    </i>
    <i r="1">
      <x v="13"/>
    </i>
    <i t="grand">
      <x/>
    </i>
  </rowItems>
  <colItems count="1">
    <i/>
  </colItems>
  <dataFields count="1">
    <dataField name="Num of trades" fld="4" baseField="0" baseItem="0"/>
  </dataFields>
  <formats count="40">
    <format dxfId="39">
      <pivotArea field="2" type="button" dataOnly="0" labelOnly="1" outline="0" axis="axisRow" fieldPosition="0"/>
    </format>
    <format dxfId="38">
      <pivotArea field="1" type="button" dataOnly="0" labelOnly="1" outline="0" axis="axisRow" fieldPosition="1"/>
    </format>
    <format dxfId="37">
      <pivotArea dataOnly="0" labelOnly="1" outline="0" axis="axisValues" fieldPosition="0"/>
    </format>
    <format dxfId="36">
      <pivotArea field="2" type="button" dataOnly="0" labelOnly="1" outline="0" axis="axisRow" fieldPosition="0"/>
    </format>
    <format dxfId="35">
      <pivotArea field="1" type="button" dataOnly="0" labelOnly="1" outline="0" axis="axisRow" fieldPosition="1"/>
    </format>
    <format dxfId="34">
      <pivotArea dataOnly="0" labelOnly="1" outline="0" axis="axisValues" fieldPosition="0"/>
    </format>
    <format dxfId="33">
      <pivotArea field="2" type="button" dataOnly="0" labelOnly="1" outline="0" axis="axisRow" fieldPosition="0"/>
    </format>
    <format dxfId="32">
      <pivotArea field="1" type="button" dataOnly="0" labelOnly="1" outline="0" axis="axisRow" fieldPosition="1"/>
    </format>
    <format dxfId="31">
      <pivotArea dataOnly="0" labelOnly="1" outline="0" axis="axisValues" fieldPosition="0"/>
    </format>
    <format dxfId="30">
      <pivotArea field="2" type="button" dataOnly="0" labelOnly="1" outline="0" axis="axisRow" fieldPosition="0"/>
    </format>
    <format dxfId="29">
      <pivotArea field="1" type="button" dataOnly="0" labelOnly="1" outline="0" axis="axisRow" fieldPosition="1"/>
    </format>
    <format dxfId="28">
      <pivotArea dataOnly="0" labelOnly="1" outline="0" axis="axisValues" fieldPosition="0"/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23">
      <pivotArea dataOnly="0" labelOnly="1" outline="0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22">
      <pivotArea dataOnly="0" labelOnly="1" outline="0" fieldPosition="0">
        <references count="2">
          <reference field="1" count="1">
            <x v="20"/>
          </reference>
          <reference field="2" count="1" selected="0">
            <x v="2"/>
          </reference>
        </references>
      </pivotArea>
    </format>
    <format dxfId="21">
      <pivotArea dataOnly="0" labelOnly="1" outline="0" fieldPosition="0">
        <references count="2">
          <reference field="1" count="2">
            <x v="15"/>
            <x v="16"/>
          </reference>
          <reference field="2" count="1" selected="0">
            <x v="3"/>
          </reference>
        </references>
      </pivotArea>
    </format>
    <format dxfId="20">
      <pivotArea dataOnly="0" labelOnly="1" outline="0" fieldPosition="0">
        <references count="2">
          <reference field="1" count="2">
            <x v="4"/>
            <x v="11"/>
          </reference>
          <reference field="2" count="1" selected="0">
            <x v="4"/>
          </reference>
        </references>
      </pivotArea>
    </format>
    <format dxfId="19">
      <pivotArea dataOnly="0" labelOnly="1" outline="0" fieldPosition="0">
        <references count="2">
          <reference field="1" count="1">
            <x v="3"/>
          </reference>
          <reference field="2" count="1" selected="0">
            <x v="5"/>
          </reference>
        </references>
      </pivotArea>
    </format>
    <format dxfId="18">
      <pivotArea dataOnly="0" labelOnly="1" outline="0" fieldPosition="0">
        <references count="2">
          <reference field="1" count="1">
            <x v="5"/>
          </reference>
          <reference field="2" count="1" selected="0">
            <x v="6"/>
          </reference>
        </references>
      </pivotArea>
    </format>
    <format dxfId="17">
      <pivotArea dataOnly="0" labelOnly="1" outline="0" fieldPosition="0">
        <references count="2">
          <reference field="1" count="2">
            <x v="2"/>
            <x v="12"/>
          </reference>
          <reference field="2" count="1" selected="0">
            <x v="7"/>
          </reference>
        </references>
      </pivotArea>
    </format>
    <format dxfId="16">
      <pivotArea dataOnly="0" labelOnly="1" outline="0" fieldPosition="0">
        <references count="2">
          <reference field="1" count="1">
            <x v="19"/>
          </reference>
          <reference field="2" count="1" selected="0">
            <x v="8"/>
          </reference>
        </references>
      </pivotArea>
    </format>
    <format dxfId="15">
      <pivotArea dataOnly="0" labelOnly="1" outline="0" fieldPosition="0">
        <references count="2">
          <reference field="1" count="1">
            <x v="6"/>
          </reference>
          <reference field="2" count="1" selected="0">
            <x v="9"/>
          </reference>
        </references>
      </pivotArea>
    </format>
    <format dxfId="14">
      <pivotArea dataOnly="0" labelOnly="1" outline="0" fieldPosition="0">
        <references count="2">
          <reference field="1" count="1">
            <x v="14"/>
          </reference>
          <reference field="2" count="1" selected="0">
            <x v="10"/>
          </reference>
        </references>
      </pivotArea>
    </format>
    <format dxfId="13">
      <pivotArea dataOnly="0" labelOnly="1" outline="0" fieldPosition="0">
        <references count="2">
          <reference field="1" count="1">
            <x v="7"/>
          </reference>
          <reference field="2" count="1" selected="0">
            <x v="11"/>
          </reference>
        </references>
      </pivotArea>
    </format>
    <format dxfId="12">
      <pivotArea dataOnly="0" labelOnly="1" outline="0" fieldPosition="0">
        <references count="2">
          <reference field="1" count="1">
            <x v="8"/>
          </reference>
          <reference field="2" count="1" selected="0">
            <x v="12"/>
          </reference>
        </references>
      </pivotArea>
    </format>
    <format dxfId="11">
      <pivotArea dataOnly="0" labelOnly="1" outline="0" fieldPosition="0">
        <references count="2">
          <reference field="1" count="1">
            <x v="17"/>
          </reference>
          <reference field="2" count="1" selected="0">
            <x v="13"/>
          </reference>
        </references>
      </pivotArea>
    </format>
    <format dxfId="10">
      <pivotArea dataOnly="0" labelOnly="1" outline="0" fieldPosition="0">
        <references count="2">
          <reference field="1" count="1">
            <x v="18"/>
          </reference>
          <reference field="2" count="1" selected="0">
            <x v="14"/>
          </reference>
        </references>
      </pivotArea>
    </format>
    <format dxfId="9">
      <pivotArea dataOnly="0" labelOnly="1" outline="0" fieldPosition="0">
        <references count="2">
          <reference field="1" count="1">
            <x v="9"/>
          </reference>
          <reference field="2" count="1" selected="0">
            <x v="15"/>
          </reference>
        </references>
      </pivotArea>
    </format>
    <format dxfId="8">
      <pivotArea dataOnly="0" labelOnly="1" outline="0" fieldPosition="0">
        <references count="2">
          <reference field="1" count="2">
            <x v="10"/>
            <x v="13"/>
          </reference>
          <reference field="2" count="1" selected="0">
            <x v="16"/>
          </reference>
        </references>
      </pivotArea>
    </format>
    <format dxfId="7">
      <pivotArea field="2" type="button" dataOnly="0" labelOnly="1" outline="0" axis="axisRow" fieldPosition="0"/>
    </format>
    <format dxfId="6">
      <pivotArea field="1" type="button" dataOnly="0" labelOnly="1" outline="0" axis="axisRow" fieldPosition="1"/>
    </format>
    <format dxfId="5">
      <pivotArea dataOnly="0" labelOnly="1" outline="0" axis="axisValues" fieldPosition="0"/>
    </format>
    <format dxfId="4">
      <pivotArea field="2" type="button" dataOnly="0" labelOnly="1" outline="0" axis="axisRow" fieldPosition="0"/>
    </format>
    <format dxfId="3">
      <pivotArea field="1" type="button" dataOnly="0" labelOnly="1" outline="0" axis="axisRow" fieldPosition="1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B3_(stock_exchange)" TargetMode="External"/><Relationship Id="rId21" Type="http://schemas.openxmlformats.org/officeDocument/2006/relationships/hyperlink" Target="https://en.wikipedia.org/wiki/London_Stock_Exchange" TargetMode="External"/><Relationship Id="rId42" Type="http://schemas.openxmlformats.org/officeDocument/2006/relationships/hyperlink" Target="https://en.wikipedia.org/wiki/Tehran_Stock_Exchange" TargetMode="External"/><Relationship Id="rId63" Type="http://schemas.openxmlformats.org/officeDocument/2006/relationships/hyperlink" Target="https://en.wikipedia.org/wiki/Deutsche_B%C3%B6rse" TargetMode="External"/><Relationship Id="rId84" Type="http://schemas.openxmlformats.org/officeDocument/2006/relationships/hyperlink" Target="https://en.wikipedia.org/wiki/Deutsche_B%C3%B6rse" TargetMode="External"/><Relationship Id="rId138" Type="http://schemas.openxmlformats.org/officeDocument/2006/relationships/hyperlink" Target="https://en.wikipedia.org/wiki/B3_(stock_exchange)" TargetMode="External"/><Relationship Id="rId159" Type="http://schemas.openxmlformats.org/officeDocument/2006/relationships/hyperlink" Target="https://en.wikipedia.org/wiki/SIX_Swiss_Exchange" TargetMode="External"/><Relationship Id="rId170" Type="http://schemas.openxmlformats.org/officeDocument/2006/relationships/hyperlink" Target="https://en.wikipedia.org/wiki/Taiwan_Stock_Exchange" TargetMode="External"/><Relationship Id="rId107" Type="http://schemas.openxmlformats.org/officeDocument/2006/relationships/hyperlink" Target="https://en.wikipedia.org/wiki/Korea_Exchange" TargetMode="External"/><Relationship Id="rId11" Type="http://schemas.openxmlformats.org/officeDocument/2006/relationships/hyperlink" Target="https://en.wikipedia.org/wiki/Deutsche_B%C3%B6rse" TargetMode="External"/><Relationship Id="rId32" Type="http://schemas.openxmlformats.org/officeDocument/2006/relationships/hyperlink" Target="https://en.wikipedia.org/wiki/Shenzhen_Stock_Exchange" TargetMode="External"/><Relationship Id="rId53" Type="http://schemas.openxmlformats.org/officeDocument/2006/relationships/hyperlink" Target="https://en.wikipedia.org/wiki/SIX_Swiss_Exchange" TargetMode="External"/><Relationship Id="rId74" Type="http://schemas.openxmlformats.org/officeDocument/2006/relationships/hyperlink" Target="https://en.wikipedia.org/wiki/National_Stock_Exchange_of_India" TargetMode="External"/><Relationship Id="rId128" Type="http://schemas.openxmlformats.org/officeDocument/2006/relationships/hyperlink" Target="https://en.wikipedia.org/wiki/Taiwan_Stock_Exchange" TargetMode="External"/><Relationship Id="rId149" Type="http://schemas.openxmlformats.org/officeDocument/2006/relationships/hyperlink" Target="https://en.wikipedia.org/wiki/Toronto_Stock_Exchange" TargetMode="External"/><Relationship Id="rId5" Type="http://schemas.openxmlformats.org/officeDocument/2006/relationships/hyperlink" Target="https://en.wikipedia.org/wiki/Bombay_Stock_Exchange" TargetMode="External"/><Relationship Id="rId95" Type="http://schemas.openxmlformats.org/officeDocument/2006/relationships/hyperlink" Target="https://en.wikipedia.org/wiki/Taiwan_Stock_Exchange" TargetMode="External"/><Relationship Id="rId160" Type="http://schemas.openxmlformats.org/officeDocument/2006/relationships/hyperlink" Target="https://en.wikipedia.org/wiki/Japan_Exchange_Group" TargetMode="External"/><Relationship Id="rId181" Type="http://schemas.openxmlformats.org/officeDocument/2006/relationships/hyperlink" Target="https://en.wikipedia.org/wiki/Hong_Kong_Stock_Exchange" TargetMode="External"/><Relationship Id="rId22" Type="http://schemas.openxmlformats.org/officeDocument/2006/relationships/hyperlink" Target="https://en.wikipedia.org/wiki/Bombay_Stock_Exchange" TargetMode="External"/><Relationship Id="rId43" Type="http://schemas.openxmlformats.org/officeDocument/2006/relationships/hyperlink" Target="https://en.wikipedia.org/wiki/Japan_Exchange_Group" TargetMode="External"/><Relationship Id="rId64" Type="http://schemas.openxmlformats.org/officeDocument/2006/relationships/hyperlink" Target="https://en.wikipedia.org/wiki/JSE_Limited" TargetMode="External"/><Relationship Id="rId118" Type="http://schemas.openxmlformats.org/officeDocument/2006/relationships/hyperlink" Target="https://en.wikipedia.org/wiki/Hong_Kong_Stock_Exchange" TargetMode="External"/><Relationship Id="rId139" Type="http://schemas.openxmlformats.org/officeDocument/2006/relationships/hyperlink" Target="https://en.wikipedia.org/wiki/Tehran_Stock_Exchange" TargetMode="External"/><Relationship Id="rId85" Type="http://schemas.openxmlformats.org/officeDocument/2006/relationships/hyperlink" Target="https://en.wikipedia.org/wiki/National_Stock_Exchange_of_India" TargetMode="External"/><Relationship Id="rId150" Type="http://schemas.openxmlformats.org/officeDocument/2006/relationships/hyperlink" Target="https://en.wikipedia.org/wiki/B3_(stock_exchange)" TargetMode="External"/><Relationship Id="rId171" Type="http://schemas.openxmlformats.org/officeDocument/2006/relationships/hyperlink" Target="https://en.wikipedia.org/wiki/National_Stock_Exchange_of_India" TargetMode="External"/><Relationship Id="rId12" Type="http://schemas.openxmlformats.org/officeDocument/2006/relationships/hyperlink" Target="https://en.wikipedia.org/wiki/Bombay_Stock_Exchange" TargetMode="External"/><Relationship Id="rId33" Type="http://schemas.openxmlformats.org/officeDocument/2006/relationships/hyperlink" Target="https://en.wikipedia.org/wiki/Taiwan_Stock_Exchange" TargetMode="External"/><Relationship Id="rId108" Type="http://schemas.openxmlformats.org/officeDocument/2006/relationships/hyperlink" Target="https://en.wikipedia.org/wiki/Nasdaq" TargetMode="External"/><Relationship Id="rId129" Type="http://schemas.openxmlformats.org/officeDocument/2006/relationships/hyperlink" Target="https://en.wikipedia.org/wiki/Toronto_Stock_Exchange" TargetMode="External"/><Relationship Id="rId54" Type="http://schemas.openxmlformats.org/officeDocument/2006/relationships/hyperlink" Target="https://en.wikipedia.org/wiki/London_Stock_Exchange" TargetMode="External"/><Relationship Id="rId75" Type="http://schemas.openxmlformats.org/officeDocument/2006/relationships/hyperlink" Target="https://en.wikipedia.org/wiki/Deutsche_B%C3%B6rse" TargetMode="External"/><Relationship Id="rId96" Type="http://schemas.openxmlformats.org/officeDocument/2006/relationships/hyperlink" Target="https://en.wikipedia.org/wiki/Tadawul" TargetMode="External"/><Relationship Id="rId140" Type="http://schemas.openxmlformats.org/officeDocument/2006/relationships/hyperlink" Target="https://en.wikipedia.org/wiki/Deutsche_B%C3%B6rse" TargetMode="External"/><Relationship Id="rId161" Type="http://schemas.openxmlformats.org/officeDocument/2006/relationships/hyperlink" Target="https://en.wikipedia.org/wiki/Nasdaq_Nordic" TargetMode="External"/><Relationship Id="rId182" Type="http://schemas.openxmlformats.org/officeDocument/2006/relationships/hyperlink" Target="https://en.wikipedia.org/wiki/B3_(stock_exchange)" TargetMode="External"/><Relationship Id="rId6" Type="http://schemas.openxmlformats.org/officeDocument/2006/relationships/hyperlink" Target="https://en.wikipedia.org/wiki/Euronext" TargetMode="External"/><Relationship Id="rId23" Type="http://schemas.openxmlformats.org/officeDocument/2006/relationships/hyperlink" Target="https://en.wikipedia.org/wiki/B3_(stock_exchange)" TargetMode="External"/><Relationship Id="rId119" Type="http://schemas.openxmlformats.org/officeDocument/2006/relationships/hyperlink" Target="https://en.wikipedia.org/wiki/National_Stock_Exchange_of_India" TargetMode="External"/><Relationship Id="rId44" Type="http://schemas.openxmlformats.org/officeDocument/2006/relationships/hyperlink" Target="https://en.wikipedia.org/wiki/Bombay_Stock_Exchange" TargetMode="External"/><Relationship Id="rId65" Type="http://schemas.openxmlformats.org/officeDocument/2006/relationships/hyperlink" Target="https://en.wikipedia.org/wiki/Shenzhen_Stock_Exchange" TargetMode="External"/><Relationship Id="rId86" Type="http://schemas.openxmlformats.org/officeDocument/2006/relationships/hyperlink" Target="https://en.wikipedia.org/wiki/Euronext" TargetMode="External"/><Relationship Id="rId130" Type="http://schemas.openxmlformats.org/officeDocument/2006/relationships/hyperlink" Target="https://en.wikipedia.org/wiki/Nasdaq_Nordic" TargetMode="External"/><Relationship Id="rId151" Type="http://schemas.openxmlformats.org/officeDocument/2006/relationships/hyperlink" Target="https://en.wikipedia.org/wiki/Bombay_Stock_Exchange" TargetMode="External"/><Relationship Id="rId172" Type="http://schemas.openxmlformats.org/officeDocument/2006/relationships/hyperlink" Target="https://en.wikipedia.org/wiki/JSE_Limited" TargetMode="External"/><Relationship Id="rId13" Type="http://schemas.openxmlformats.org/officeDocument/2006/relationships/hyperlink" Target="https://en.wikipedia.org/wiki/Bombay_Stock_Exchange" TargetMode="External"/><Relationship Id="rId18" Type="http://schemas.openxmlformats.org/officeDocument/2006/relationships/hyperlink" Target="https://en.wikipedia.org/wiki/Shanghai_Stock_Exchange" TargetMode="External"/><Relationship Id="rId39" Type="http://schemas.openxmlformats.org/officeDocument/2006/relationships/hyperlink" Target="https://en.wikipedia.org/wiki/New_York_Stock_Exchange" TargetMode="External"/><Relationship Id="rId109" Type="http://schemas.openxmlformats.org/officeDocument/2006/relationships/hyperlink" Target="https://en.wikipedia.org/wiki/London_Stock_Exchange" TargetMode="External"/><Relationship Id="rId34" Type="http://schemas.openxmlformats.org/officeDocument/2006/relationships/hyperlink" Target="https://en.wikipedia.org/wiki/Deutsche_B%C3%B6rse" TargetMode="External"/><Relationship Id="rId50" Type="http://schemas.openxmlformats.org/officeDocument/2006/relationships/hyperlink" Target="https://en.wikipedia.org/wiki/London_Stock_Exchange" TargetMode="External"/><Relationship Id="rId55" Type="http://schemas.openxmlformats.org/officeDocument/2006/relationships/hyperlink" Target="https://en.wikipedia.org/wiki/Korea_Exchange" TargetMode="External"/><Relationship Id="rId76" Type="http://schemas.openxmlformats.org/officeDocument/2006/relationships/hyperlink" Target="https://en.wikipedia.org/wiki/B3_(stock_exchange)" TargetMode="External"/><Relationship Id="rId97" Type="http://schemas.openxmlformats.org/officeDocument/2006/relationships/hyperlink" Target="https://en.wikipedia.org/wiki/Tadawul" TargetMode="External"/><Relationship Id="rId104" Type="http://schemas.openxmlformats.org/officeDocument/2006/relationships/hyperlink" Target="https://en.wikipedia.org/wiki/B3_(stock_exchange)" TargetMode="External"/><Relationship Id="rId120" Type="http://schemas.openxmlformats.org/officeDocument/2006/relationships/hyperlink" Target="https://en.wikipedia.org/wiki/Taiwan_Stock_Exchange" TargetMode="External"/><Relationship Id="rId125" Type="http://schemas.openxmlformats.org/officeDocument/2006/relationships/hyperlink" Target="https://en.wikipedia.org/wiki/Nasdaq_Nordic" TargetMode="External"/><Relationship Id="rId141" Type="http://schemas.openxmlformats.org/officeDocument/2006/relationships/hyperlink" Target="https://en.wikipedia.org/wiki/Shenzhen_Stock_Exchange" TargetMode="External"/><Relationship Id="rId146" Type="http://schemas.openxmlformats.org/officeDocument/2006/relationships/hyperlink" Target="https://en.wikipedia.org/wiki/Tadawul" TargetMode="External"/><Relationship Id="rId167" Type="http://schemas.openxmlformats.org/officeDocument/2006/relationships/hyperlink" Target="https://en.wikipedia.org/wiki/Tadawul" TargetMode="External"/><Relationship Id="rId7" Type="http://schemas.openxmlformats.org/officeDocument/2006/relationships/hyperlink" Target="https://en.wikipedia.org/wiki/Korea_Exchange" TargetMode="External"/><Relationship Id="rId71" Type="http://schemas.openxmlformats.org/officeDocument/2006/relationships/hyperlink" Target="https://en.wikipedia.org/wiki/Euronext" TargetMode="External"/><Relationship Id="rId92" Type="http://schemas.openxmlformats.org/officeDocument/2006/relationships/hyperlink" Target="https://en.wikipedia.org/wiki/Nasdaq_Nordic" TargetMode="External"/><Relationship Id="rId162" Type="http://schemas.openxmlformats.org/officeDocument/2006/relationships/hyperlink" Target="https://en.wikipedia.org/wiki/Shanghai_Stock_Exchange" TargetMode="External"/><Relationship Id="rId183" Type="http://schemas.openxmlformats.org/officeDocument/2006/relationships/hyperlink" Target="https://en.wikipedia.org/wiki/Taiwan_Stock_Exchange" TargetMode="External"/><Relationship Id="rId2" Type="http://schemas.openxmlformats.org/officeDocument/2006/relationships/hyperlink" Target="https://en.wikipedia.org/wiki/Tehran_Stock_Exchange" TargetMode="External"/><Relationship Id="rId29" Type="http://schemas.openxmlformats.org/officeDocument/2006/relationships/hyperlink" Target="https://en.wikipedia.org/wiki/Bombay_Stock_Exchange" TargetMode="External"/><Relationship Id="rId24" Type="http://schemas.openxmlformats.org/officeDocument/2006/relationships/hyperlink" Target="https://en.wikipedia.org/wiki/Nasdaq" TargetMode="External"/><Relationship Id="rId40" Type="http://schemas.openxmlformats.org/officeDocument/2006/relationships/hyperlink" Target="https://en.wikipedia.org/wiki/Tehran_Stock_Exchange" TargetMode="External"/><Relationship Id="rId45" Type="http://schemas.openxmlformats.org/officeDocument/2006/relationships/hyperlink" Target="https://en.wikipedia.org/wiki/Shanghai_Stock_Exchange" TargetMode="External"/><Relationship Id="rId66" Type="http://schemas.openxmlformats.org/officeDocument/2006/relationships/hyperlink" Target="https://en.wikipedia.org/wiki/B3_(stock_exchange)" TargetMode="External"/><Relationship Id="rId87" Type="http://schemas.openxmlformats.org/officeDocument/2006/relationships/hyperlink" Target="https://en.wikipedia.org/wiki/Bombay_Stock_Exchange" TargetMode="External"/><Relationship Id="rId110" Type="http://schemas.openxmlformats.org/officeDocument/2006/relationships/hyperlink" Target="https://en.wikipedia.org/wiki/Bombay_Stock_Exchange" TargetMode="External"/><Relationship Id="rId115" Type="http://schemas.openxmlformats.org/officeDocument/2006/relationships/hyperlink" Target="https://en.wikipedia.org/wiki/JSE_Limited" TargetMode="External"/><Relationship Id="rId131" Type="http://schemas.openxmlformats.org/officeDocument/2006/relationships/hyperlink" Target="https://en.wikipedia.org/wiki/Toronto_Stock_Exchange" TargetMode="External"/><Relationship Id="rId136" Type="http://schemas.openxmlformats.org/officeDocument/2006/relationships/hyperlink" Target="https://en.wikipedia.org/wiki/London_Stock_Exchange" TargetMode="External"/><Relationship Id="rId157" Type="http://schemas.openxmlformats.org/officeDocument/2006/relationships/hyperlink" Target="https://en.wikipedia.org/wiki/Korea_Exchange" TargetMode="External"/><Relationship Id="rId178" Type="http://schemas.openxmlformats.org/officeDocument/2006/relationships/hyperlink" Target="https://en.wikipedia.org/wiki/Shenzhen_Stock_Exchange" TargetMode="External"/><Relationship Id="rId61" Type="http://schemas.openxmlformats.org/officeDocument/2006/relationships/hyperlink" Target="https://en.wikipedia.org/wiki/Tehran_Stock_Exchange" TargetMode="External"/><Relationship Id="rId82" Type="http://schemas.openxmlformats.org/officeDocument/2006/relationships/hyperlink" Target="https://en.wikipedia.org/wiki/Nasdaq" TargetMode="External"/><Relationship Id="rId152" Type="http://schemas.openxmlformats.org/officeDocument/2006/relationships/hyperlink" Target="https://en.wikipedia.org/wiki/Shanghai_Stock_Exchange" TargetMode="External"/><Relationship Id="rId173" Type="http://schemas.openxmlformats.org/officeDocument/2006/relationships/hyperlink" Target="https://en.wikipedia.org/wiki/Japan_Exchange_Group" TargetMode="External"/><Relationship Id="rId19" Type="http://schemas.openxmlformats.org/officeDocument/2006/relationships/hyperlink" Target="https://en.wikipedia.org/wiki/National_Stock_Exchange_of_India" TargetMode="External"/><Relationship Id="rId14" Type="http://schemas.openxmlformats.org/officeDocument/2006/relationships/hyperlink" Target="https://en.wikipedia.org/wiki/Tadawul" TargetMode="External"/><Relationship Id="rId30" Type="http://schemas.openxmlformats.org/officeDocument/2006/relationships/hyperlink" Target="https://en.wikipedia.org/wiki/Deutsche_B%C3%B6rse" TargetMode="External"/><Relationship Id="rId35" Type="http://schemas.openxmlformats.org/officeDocument/2006/relationships/hyperlink" Target="https://en.wikipedia.org/wiki/SIX_Swiss_Exchange" TargetMode="External"/><Relationship Id="rId56" Type="http://schemas.openxmlformats.org/officeDocument/2006/relationships/hyperlink" Target="https://en.wikipedia.org/wiki/JSE_Limited" TargetMode="External"/><Relationship Id="rId77" Type="http://schemas.openxmlformats.org/officeDocument/2006/relationships/hyperlink" Target="https://en.wikipedia.org/wiki/Taiwan_Stock_Exchange" TargetMode="External"/><Relationship Id="rId100" Type="http://schemas.openxmlformats.org/officeDocument/2006/relationships/hyperlink" Target="https://en.wikipedia.org/wiki/Hong_Kong_Stock_Exchange" TargetMode="External"/><Relationship Id="rId105" Type="http://schemas.openxmlformats.org/officeDocument/2006/relationships/hyperlink" Target="https://en.wikipedia.org/wiki/Tehran_Stock_Exchange" TargetMode="External"/><Relationship Id="rId126" Type="http://schemas.openxmlformats.org/officeDocument/2006/relationships/hyperlink" Target="https://en.wikipedia.org/wiki/Deutsche_B%C3%B6rse" TargetMode="External"/><Relationship Id="rId147" Type="http://schemas.openxmlformats.org/officeDocument/2006/relationships/hyperlink" Target="https://en.wikipedia.org/wiki/Nasdaq" TargetMode="External"/><Relationship Id="rId168" Type="http://schemas.openxmlformats.org/officeDocument/2006/relationships/hyperlink" Target="https://en.wikipedia.org/wiki/Tadawul" TargetMode="External"/><Relationship Id="rId8" Type="http://schemas.openxmlformats.org/officeDocument/2006/relationships/hyperlink" Target="https://en.wikipedia.org/wiki/JSE_Limited" TargetMode="External"/><Relationship Id="rId51" Type="http://schemas.openxmlformats.org/officeDocument/2006/relationships/hyperlink" Target="https://en.wikipedia.org/wiki/Nasdaq" TargetMode="External"/><Relationship Id="rId72" Type="http://schemas.openxmlformats.org/officeDocument/2006/relationships/hyperlink" Target="https://en.wikipedia.org/wiki/SIX_Swiss_Exchange" TargetMode="External"/><Relationship Id="rId93" Type="http://schemas.openxmlformats.org/officeDocument/2006/relationships/hyperlink" Target="https://en.wikipedia.org/wiki/National_Stock_Exchange_of_India" TargetMode="External"/><Relationship Id="rId98" Type="http://schemas.openxmlformats.org/officeDocument/2006/relationships/hyperlink" Target="https://en.wikipedia.org/wiki/Nasdaq" TargetMode="External"/><Relationship Id="rId121" Type="http://schemas.openxmlformats.org/officeDocument/2006/relationships/hyperlink" Target="https://en.wikipedia.org/wiki/New_York_Stock_Exchange" TargetMode="External"/><Relationship Id="rId142" Type="http://schemas.openxmlformats.org/officeDocument/2006/relationships/hyperlink" Target="https://en.wikipedia.org/wiki/Shenzhen_Stock_Exchange" TargetMode="External"/><Relationship Id="rId163" Type="http://schemas.openxmlformats.org/officeDocument/2006/relationships/hyperlink" Target="https://en.wikipedia.org/wiki/Deutsche_B%C3%B6rse" TargetMode="External"/><Relationship Id="rId184" Type="http://schemas.openxmlformats.org/officeDocument/2006/relationships/hyperlink" Target="https://en.wikipedia.org/wiki/B3_(stock_exchange)" TargetMode="External"/><Relationship Id="rId3" Type="http://schemas.openxmlformats.org/officeDocument/2006/relationships/hyperlink" Target="https://en.wikipedia.org/wiki/National_Stock_Exchange_of_India" TargetMode="External"/><Relationship Id="rId25" Type="http://schemas.openxmlformats.org/officeDocument/2006/relationships/hyperlink" Target="https://en.wikipedia.org/wiki/Toronto_Stock_Exchange" TargetMode="External"/><Relationship Id="rId46" Type="http://schemas.openxmlformats.org/officeDocument/2006/relationships/hyperlink" Target="https://en.wikipedia.org/wiki/Deutsche_B%C3%B6rse" TargetMode="External"/><Relationship Id="rId67" Type="http://schemas.openxmlformats.org/officeDocument/2006/relationships/hyperlink" Target="https://en.wikipedia.org/wiki/New_York_Stock_Exchange" TargetMode="External"/><Relationship Id="rId116" Type="http://schemas.openxmlformats.org/officeDocument/2006/relationships/hyperlink" Target="https://en.wikipedia.org/wiki/Tehran_Stock_Exchange" TargetMode="External"/><Relationship Id="rId137" Type="http://schemas.openxmlformats.org/officeDocument/2006/relationships/hyperlink" Target="https://en.wikipedia.org/wiki/Korea_Exchange" TargetMode="External"/><Relationship Id="rId158" Type="http://schemas.openxmlformats.org/officeDocument/2006/relationships/hyperlink" Target="https://en.wikipedia.org/wiki/Shanghai_Stock_Exchange" TargetMode="External"/><Relationship Id="rId20" Type="http://schemas.openxmlformats.org/officeDocument/2006/relationships/hyperlink" Target="https://en.wikipedia.org/wiki/Japan_Exchange_Group" TargetMode="External"/><Relationship Id="rId41" Type="http://schemas.openxmlformats.org/officeDocument/2006/relationships/hyperlink" Target="https://en.wikipedia.org/wiki/New_York_Stock_Exchange" TargetMode="External"/><Relationship Id="rId62" Type="http://schemas.openxmlformats.org/officeDocument/2006/relationships/hyperlink" Target="https://en.wikipedia.org/wiki/B3_(stock_exchange)" TargetMode="External"/><Relationship Id="rId83" Type="http://schemas.openxmlformats.org/officeDocument/2006/relationships/hyperlink" Target="https://en.wikipedia.org/wiki/Nasdaq_Nordic" TargetMode="External"/><Relationship Id="rId88" Type="http://schemas.openxmlformats.org/officeDocument/2006/relationships/hyperlink" Target="https://en.wikipedia.org/wiki/B3_(stock_exchange)" TargetMode="External"/><Relationship Id="rId111" Type="http://schemas.openxmlformats.org/officeDocument/2006/relationships/hyperlink" Target="https://en.wikipedia.org/wiki/National_Stock_Exchange_of_India" TargetMode="External"/><Relationship Id="rId132" Type="http://schemas.openxmlformats.org/officeDocument/2006/relationships/hyperlink" Target="https://en.wikipedia.org/wiki/Shenzhen_Stock_Exchange" TargetMode="External"/><Relationship Id="rId153" Type="http://schemas.openxmlformats.org/officeDocument/2006/relationships/hyperlink" Target="https://en.wikipedia.org/wiki/Euronext" TargetMode="External"/><Relationship Id="rId174" Type="http://schemas.openxmlformats.org/officeDocument/2006/relationships/hyperlink" Target="https://en.wikipedia.org/wiki/Deutsche_B%C3%B6rse" TargetMode="External"/><Relationship Id="rId179" Type="http://schemas.openxmlformats.org/officeDocument/2006/relationships/hyperlink" Target="https://en.wikipedia.org/wiki/JSE_Limited" TargetMode="External"/><Relationship Id="rId15" Type="http://schemas.openxmlformats.org/officeDocument/2006/relationships/hyperlink" Target="https://en.wikipedia.org/wiki/JSE_Limited" TargetMode="External"/><Relationship Id="rId36" Type="http://schemas.openxmlformats.org/officeDocument/2006/relationships/hyperlink" Target="https://en.wikipedia.org/wiki/Euronext" TargetMode="External"/><Relationship Id="rId57" Type="http://schemas.openxmlformats.org/officeDocument/2006/relationships/hyperlink" Target="https://en.wikipedia.org/wiki/Japan_Exchange_Group" TargetMode="External"/><Relationship Id="rId106" Type="http://schemas.openxmlformats.org/officeDocument/2006/relationships/hyperlink" Target="https://en.wikipedia.org/wiki/Japan_Exchange_Group" TargetMode="External"/><Relationship Id="rId127" Type="http://schemas.openxmlformats.org/officeDocument/2006/relationships/hyperlink" Target="https://en.wikipedia.org/wiki/London_Stock_Exchange" TargetMode="External"/><Relationship Id="rId10" Type="http://schemas.openxmlformats.org/officeDocument/2006/relationships/hyperlink" Target="https://en.wikipedia.org/wiki/Euronext" TargetMode="External"/><Relationship Id="rId31" Type="http://schemas.openxmlformats.org/officeDocument/2006/relationships/hyperlink" Target="https://en.wikipedia.org/wiki/London_Stock_Exchange" TargetMode="External"/><Relationship Id="rId52" Type="http://schemas.openxmlformats.org/officeDocument/2006/relationships/hyperlink" Target="https://en.wikipedia.org/wiki/SIX_Swiss_Exchange" TargetMode="External"/><Relationship Id="rId73" Type="http://schemas.openxmlformats.org/officeDocument/2006/relationships/hyperlink" Target="https://en.wikipedia.org/wiki/B3_(stock_exchange)" TargetMode="External"/><Relationship Id="rId78" Type="http://schemas.openxmlformats.org/officeDocument/2006/relationships/hyperlink" Target="https://en.wikipedia.org/wiki/Bombay_Stock_Exchange" TargetMode="External"/><Relationship Id="rId94" Type="http://schemas.openxmlformats.org/officeDocument/2006/relationships/hyperlink" Target="https://en.wikipedia.org/wiki/Toronto_Stock_Exchange" TargetMode="External"/><Relationship Id="rId99" Type="http://schemas.openxmlformats.org/officeDocument/2006/relationships/hyperlink" Target="https://en.wikipedia.org/wiki/B3_(stock_exchange)" TargetMode="External"/><Relationship Id="rId101" Type="http://schemas.openxmlformats.org/officeDocument/2006/relationships/hyperlink" Target="https://en.wikipedia.org/wiki/Euronext" TargetMode="External"/><Relationship Id="rId122" Type="http://schemas.openxmlformats.org/officeDocument/2006/relationships/hyperlink" Target="https://en.wikipedia.org/wiki/Toronto_Stock_Exchange" TargetMode="External"/><Relationship Id="rId143" Type="http://schemas.openxmlformats.org/officeDocument/2006/relationships/hyperlink" Target="https://en.wikipedia.org/wiki/Deutsche_B%C3%B6rse" TargetMode="External"/><Relationship Id="rId148" Type="http://schemas.openxmlformats.org/officeDocument/2006/relationships/hyperlink" Target="https://en.wikipedia.org/wiki/Shanghai_Stock_Exchange" TargetMode="External"/><Relationship Id="rId164" Type="http://schemas.openxmlformats.org/officeDocument/2006/relationships/hyperlink" Target="https://en.wikipedia.org/wiki/New_York_Stock_Exchange" TargetMode="External"/><Relationship Id="rId169" Type="http://schemas.openxmlformats.org/officeDocument/2006/relationships/hyperlink" Target="https://en.wikipedia.org/wiki/Tadawul" TargetMode="External"/><Relationship Id="rId185" Type="http://schemas.openxmlformats.org/officeDocument/2006/relationships/printerSettings" Target="../printerSettings/printerSettings1.bin"/><Relationship Id="rId4" Type="http://schemas.openxmlformats.org/officeDocument/2006/relationships/hyperlink" Target="https://en.wikipedia.org/wiki/SIX_Swiss_Exchange" TargetMode="External"/><Relationship Id="rId9" Type="http://schemas.openxmlformats.org/officeDocument/2006/relationships/hyperlink" Target="https://en.wikipedia.org/wiki/Toronto_Stock_Exchange" TargetMode="External"/><Relationship Id="rId180" Type="http://schemas.openxmlformats.org/officeDocument/2006/relationships/hyperlink" Target="https://en.wikipedia.org/wiki/B3_(stock_exchange)" TargetMode="External"/><Relationship Id="rId26" Type="http://schemas.openxmlformats.org/officeDocument/2006/relationships/hyperlink" Target="https://en.wikipedia.org/wiki/B3_(stock_exchange)" TargetMode="External"/><Relationship Id="rId47" Type="http://schemas.openxmlformats.org/officeDocument/2006/relationships/hyperlink" Target="https://en.wikipedia.org/wiki/Hong_Kong_Stock_Exchange" TargetMode="External"/><Relationship Id="rId68" Type="http://schemas.openxmlformats.org/officeDocument/2006/relationships/hyperlink" Target="https://en.wikipedia.org/wiki/Bombay_Stock_Exchange" TargetMode="External"/><Relationship Id="rId89" Type="http://schemas.openxmlformats.org/officeDocument/2006/relationships/hyperlink" Target="https://en.wikipedia.org/wiki/New_York_Stock_Exchange" TargetMode="External"/><Relationship Id="rId112" Type="http://schemas.openxmlformats.org/officeDocument/2006/relationships/hyperlink" Target="https://en.wikipedia.org/wiki/Hong_Kong_Stock_Exchange" TargetMode="External"/><Relationship Id="rId133" Type="http://schemas.openxmlformats.org/officeDocument/2006/relationships/hyperlink" Target="https://en.wikipedia.org/wiki/Nasdaq_Nordic" TargetMode="External"/><Relationship Id="rId154" Type="http://schemas.openxmlformats.org/officeDocument/2006/relationships/hyperlink" Target="https://en.wikipedia.org/wiki/New_York_Stock_Exchange" TargetMode="External"/><Relationship Id="rId175" Type="http://schemas.openxmlformats.org/officeDocument/2006/relationships/hyperlink" Target="https://en.wikipedia.org/wiki/Bombay_Stock_Exchange" TargetMode="External"/><Relationship Id="rId16" Type="http://schemas.openxmlformats.org/officeDocument/2006/relationships/hyperlink" Target="https://en.wikipedia.org/wiki/Japan_Exchange_Group" TargetMode="External"/><Relationship Id="rId37" Type="http://schemas.openxmlformats.org/officeDocument/2006/relationships/hyperlink" Target="https://en.wikipedia.org/wiki/Taiwan_Stock_Exchange" TargetMode="External"/><Relationship Id="rId58" Type="http://schemas.openxmlformats.org/officeDocument/2006/relationships/hyperlink" Target="https://en.wikipedia.org/wiki/Shenzhen_Stock_Exchange" TargetMode="External"/><Relationship Id="rId79" Type="http://schemas.openxmlformats.org/officeDocument/2006/relationships/hyperlink" Target="https://en.wikipedia.org/wiki/Japan_Exchange_Group" TargetMode="External"/><Relationship Id="rId102" Type="http://schemas.openxmlformats.org/officeDocument/2006/relationships/hyperlink" Target="https://en.wikipedia.org/wiki/B3_(stock_exchange)" TargetMode="External"/><Relationship Id="rId123" Type="http://schemas.openxmlformats.org/officeDocument/2006/relationships/hyperlink" Target="https://en.wikipedia.org/wiki/Deutsche_B%C3%B6rse" TargetMode="External"/><Relationship Id="rId144" Type="http://schemas.openxmlformats.org/officeDocument/2006/relationships/hyperlink" Target="https://en.wikipedia.org/wiki/Bombay_Stock_Exchange" TargetMode="External"/><Relationship Id="rId90" Type="http://schemas.openxmlformats.org/officeDocument/2006/relationships/hyperlink" Target="https://en.wikipedia.org/wiki/Euronext" TargetMode="External"/><Relationship Id="rId165" Type="http://schemas.openxmlformats.org/officeDocument/2006/relationships/hyperlink" Target="https://en.wikipedia.org/wiki/Tehran_Stock_Exchange" TargetMode="External"/><Relationship Id="rId27" Type="http://schemas.openxmlformats.org/officeDocument/2006/relationships/hyperlink" Target="https://en.wikipedia.org/wiki/Korea_Exchange" TargetMode="External"/><Relationship Id="rId48" Type="http://schemas.openxmlformats.org/officeDocument/2006/relationships/hyperlink" Target="https://en.wikipedia.org/wiki/Toronto_Stock_Exchange" TargetMode="External"/><Relationship Id="rId69" Type="http://schemas.openxmlformats.org/officeDocument/2006/relationships/hyperlink" Target="https://en.wikipedia.org/wiki/Nasdaq" TargetMode="External"/><Relationship Id="rId113" Type="http://schemas.openxmlformats.org/officeDocument/2006/relationships/hyperlink" Target="https://en.wikipedia.org/wiki/SIX_Swiss_Exchange" TargetMode="External"/><Relationship Id="rId134" Type="http://schemas.openxmlformats.org/officeDocument/2006/relationships/hyperlink" Target="https://en.wikipedia.org/wiki/Shenzhen_Stock_Exchange" TargetMode="External"/><Relationship Id="rId80" Type="http://schemas.openxmlformats.org/officeDocument/2006/relationships/hyperlink" Target="https://en.wikipedia.org/wiki/Shanghai_Stock_Exchange" TargetMode="External"/><Relationship Id="rId155" Type="http://schemas.openxmlformats.org/officeDocument/2006/relationships/hyperlink" Target="https://en.wikipedia.org/wiki/London_Stock_Exchange" TargetMode="External"/><Relationship Id="rId176" Type="http://schemas.openxmlformats.org/officeDocument/2006/relationships/hyperlink" Target="https://en.wikipedia.org/wiki/Hong_Kong_Stock_Exchange" TargetMode="External"/><Relationship Id="rId17" Type="http://schemas.openxmlformats.org/officeDocument/2006/relationships/hyperlink" Target="https://en.wikipedia.org/wiki/Hong_Kong_Stock_Exchange" TargetMode="External"/><Relationship Id="rId38" Type="http://schemas.openxmlformats.org/officeDocument/2006/relationships/hyperlink" Target="https://en.wikipedia.org/wiki/Deutsche_B%C3%B6rse" TargetMode="External"/><Relationship Id="rId59" Type="http://schemas.openxmlformats.org/officeDocument/2006/relationships/hyperlink" Target="https://en.wikipedia.org/wiki/Deutsche_B%C3%B6rse" TargetMode="External"/><Relationship Id="rId103" Type="http://schemas.openxmlformats.org/officeDocument/2006/relationships/hyperlink" Target="https://en.wikipedia.org/wiki/SIX_Swiss_Exchange" TargetMode="External"/><Relationship Id="rId124" Type="http://schemas.openxmlformats.org/officeDocument/2006/relationships/hyperlink" Target="https://en.wikipedia.org/wiki/Nasdaq" TargetMode="External"/><Relationship Id="rId70" Type="http://schemas.openxmlformats.org/officeDocument/2006/relationships/hyperlink" Target="https://en.wikipedia.org/wiki/Hong_Kong_Stock_Exchange" TargetMode="External"/><Relationship Id="rId91" Type="http://schemas.openxmlformats.org/officeDocument/2006/relationships/hyperlink" Target="https://en.wikipedia.org/wiki/Nasdaq_Nordic" TargetMode="External"/><Relationship Id="rId145" Type="http://schemas.openxmlformats.org/officeDocument/2006/relationships/hyperlink" Target="https://en.wikipedia.org/wiki/Bombay_Stock_Exchange" TargetMode="External"/><Relationship Id="rId166" Type="http://schemas.openxmlformats.org/officeDocument/2006/relationships/hyperlink" Target="https://en.wikipedia.org/wiki/New_York_Stock_Exchange" TargetMode="External"/><Relationship Id="rId1" Type="http://schemas.openxmlformats.org/officeDocument/2006/relationships/hyperlink" Target="https://en.wikipedia.org/wiki/Bombay_Stock_Exchange" TargetMode="External"/><Relationship Id="rId28" Type="http://schemas.openxmlformats.org/officeDocument/2006/relationships/hyperlink" Target="https://en.wikipedia.org/wiki/Bombay_Stock_Exchange" TargetMode="External"/><Relationship Id="rId49" Type="http://schemas.openxmlformats.org/officeDocument/2006/relationships/hyperlink" Target="https://en.wikipedia.org/wiki/Korea_Exchange" TargetMode="External"/><Relationship Id="rId114" Type="http://schemas.openxmlformats.org/officeDocument/2006/relationships/hyperlink" Target="https://en.wikipedia.org/wiki/Deutsche_B%C3%B6rse" TargetMode="External"/><Relationship Id="rId60" Type="http://schemas.openxmlformats.org/officeDocument/2006/relationships/hyperlink" Target="https://en.wikipedia.org/wiki/Tadawul" TargetMode="External"/><Relationship Id="rId81" Type="http://schemas.openxmlformats.org/officeDocument/2006/relationships/hyperlink" Target="https://en.wikipedia.org/wiki/Nasdaq_Nordic" TargetMode="External"/><Relationship Id="rId135" Type="http://schemas.openxmlformats.org/officeDocument/2006/relationships/hyperlink" Target="https://en.wikipedia.org/wiki/JSE_Limited" TargetMode="External"/><Relationship Id="rId156" Type="http://schemas.openxmlformats.org/officeDocument/2006/relationships/hyperlink" Target="https://en.wikipedia.org/wiki/Korea_Exchange" TargetMode="External"/><Relationship Id="rId177" Type="http://schemas.openxmlformats.org/officeDocument/2006/relationships/hyperlink" Target="https://en.wikipedia.org/wiki/Shanghai_Stock_Exchang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04"/>
  <sheetViews>
    <sheetView workbookViewId="0">
      <pane ySplit="1" topLeftCell="A176" activePane="bottomLeft" state="frozen"/>
      <selection pane="bottomLeft" activeCell="C1" sqref="C1"/>
    </sheetView>
  </sheetViews>
  <sheetFormatPr defaultColWidth="12.5546875" defaultRowHeight="15.75" customHeight="1"/>
  <cols>
    <col min="2" max="2" width="33.88671875" customWidth="1"/>
    <col min="4" max="4" width="12.5546875" style="14"/>
    <col min="6" max="6" width="13.6640625" customWidth="1"/>
    <col min="7" max="7" width="12.5546875" style="14"/>
  </cols>
  <sheetData>
    <row r="1" spans="1:13" ht="21" thickTop="1" thickBot="1">
      <c r="A1" s="22" t="s">
        <v>0</v>
      </c>
      <c r="B1" s="22" t="s">
        <v>1</v>
      </c>
      <c r="C1" s="22" t="s">
        <v>2</v>
      </c>
      <c r="D1" s="23" t="s">
        <v>3</v>
      </c>
      <c r="E1" s="22" t="s">
        <v>4</v>
      </c>
      <c r="F1" s="22" t="s">
        <v>5</v>
      </c>
      <c r="G1" s="23" t="s">
        <v>6</v>
      </c>
      <c r="H1" s="22" t="s">
        <v>7</v>
      </c>
      <c r="I1" s="1"/>
    </row>
    <row r="2" spans="1:13" ht="15" thickTop="1">
      <c r="A2" s="17" t="s">
        <v>102</v>
      </c>
      <c r="B2" s="18" t="s">
        <v>103</v>
      </c>
      <c r="C2" s="19" t="s">
        <v>104</v>
      </c>
      <c r="D2" s="20">
        <v>44356</v>
      </c>
      <c r="E2" s="21">
        <v>6</v>
      </c>
      <c r="F2" s="21">
        <v>0.75369284563293804</v>
      </c>
      <c r="G2" s="20">
        <v>45000</v>
      </c>
      <c r="H2" s="21">
        <v>0.95310350121023102</v>
      </c>
      <c r="I2" s="4"/>
    </row>
    <row r="3" spans="1:13" ht="14.4">
      <c r="A3" s="5" t="s">
        <v>114</v>
      </c>
      <c r="B3" s="6" t="s">
        <v>103</v>
      </c>
      <c r="C3" s="7" t="s">
        <v>104</v>
      </c>
      <c r="D3" s="10">
        <v>44574</v>
      </c>
      <c r="E3" s="8">
        <v>5</v>
      </c>
      <c r="F3" s="8">
        <v>2.4408043245797401E-2</v>
      </c>
      <c r="G3" s="10">
        <v>45041</v>
      </c>
      <c r="H3" s="8">
        <v>0.11842008103757801</v>
      </c>
      <c r="I3" s="4"/>
    </row>
    <row r="4" spans="1:13" ht="14.4">
      <c r="A4" s="5" t="s">
        <v>125</v>
      </c>
      <c r="B4" s="6" t="s">
        <v>103</v>
      </c>
      <c r="C4" s="7" t="s">
        <v>104</v>
      </c>
      <c r="D4" s="10">
        <v>44643</v>
      </c>
      <c r="E4" s="8">
        <v>10</v>
      </c>
      <c r="F4" s="8">
        <v>0.13502577444900801</v>
      </c>
      <c r="G4" s="10">
        <v>45050</v>
      </c>
      <c r="H4" s="8">
        <v>9.7289928257875094E-2</v>
      </c>
      <c r="I4" s="4"/>
    </row>
    <row r="5" spans="1:13" ht="14.4">
      <c r="A5" s="5" t="s">
        <v>132</v>
      </c>
      <c r="B5" s="6" t="s">
        <v>103</v>
      </c>
      <c r="C5" s="7" t="s">
        <v>104</v>
      </c>
      <c r="D5" s="10">
        <v>44544</v>
      </c>
      <c r="E5" s="8">
        <v>7</v>
      </c>
      <c r="F5" s="8">
        <v>0.77483286137645402</v>
      </c>
      <c r="G5" s="10">
        <v>44977</v>
      </c>
      <c r="H5" s="8">
        <v>0.83972936204120796</v>
      </c>
      <c r="I5" s="4"/>
    </row>
    <row r="6" spans="1:13" ht="14.4">
      <c r="A6" s="5" t="s">
        <v>139</v>
      </c>
      <c r="B6" s="6" t="s">
        <v>103</v>
      </c>
      <c r="C6" s="7" t="s">
        <v>104</v>
      </c>
      <c r="D6" s="10">
        <v>44250</v>
      </c>
      <c r="E6" s="8">
        <v>5</v>
      </c>
      <c r="F6" s="8">
        <v>0.70021844930653598</v>
      </c>
      <c r="G6" s="10">
        <v>45008</v>
      </c>
      <c r="H6" s="8">
        <v>0.61187665279577597</v>
      </c>
      <c r="I6" s="4"/>
    </row>
    <row r="7" spans="1:13" ht="14.4">
      <c r="A7" s="5" t="s">
        <v>142</v>
      </c>
      <c r="B7" s="6" t="s">
        <v>103</v>
      </c>
      <c r="C7" s="7" t="s">
        <v>104</v>
      </c>
      <c r="D7" s="10">
        <v>44396</v>
      </c>
      <c r="E7" s="8">
        <v>7</v>
      </c>
      <c r="F7" s="8">
        <v>0.55211790295911001</v>
      </c>
      <c r="G7" s="10">
        <v>45011</v>
      </c>
      <c r="H7" s="8">
        <v>0.33871055216854301</v>
      </c>
      <c r="I7" s="4"/>
    </row>
    <row r="8" spans="1:13" ht="14.4">
      <c r="A8" s="5" t="s">
        <v>146</v>
      </c>
      <c r="B8" s="6" t="s">
        <v>103</v>
      </c>
      <c r="C8" s="7" t="s">
        <v>104</v>
      </c>
      <c r="D8" s="10">
        <v>44468</v>
      </c>
      <c r="E8" s="8">
        <v>3</v>
      </c>
      <c r="F8" s="8">
        <v>0.93189165277683395</v>
      </c>
      <c r="G8" s="10">
        <v>44962</v>
      </c>
      <c r="H8" s="8">
        <v>2.43785689040747E-2</v>
      </c>
      <c r="I8" s="4"/>
    </row>
    <row r="9" spans="1:13" ht="14.4">
      <c r="A9" s="5" t="s">
        <v>149</v>
      </c>
      <c r="B9" s="6" t="s">
        <v>103</v>
      </c>
      <c r="C9" s="7" t="s">
        <v>104</v>
      </c>
      <c r="D9" s="10">
        <v>44659</v>
      </c>
      <c r="E9" s="8">
        <v>7</v>
      </c>
      <c r="F9" s="8">
        <v>0.75215132834364595</v>
      </c>
      <c r="G9" s="10">
        <v>45051</v>
      </c>
      <c r="H9" s="8">
        <v>2.6168363795351798E-2</v>
      </c>
      <c r="I9" s="4"/>
    </row>
    <row r="10" spans="1:13" ht="14.4">
      <c r="A10" s="5" t="s">
        <v>162</v>
      </c>
      <c r="B10" s="6" t="s">
        <v>103</v>
      </c>
      <c r="C10" s="7" t="s">
        <v>104</v>
      </c>
      <c r="D10" s="10">
        <v>44595</v>
      </c>
      <c r="E10" s="8">
        <v>1</v>
      </c>
      <c r="F10" s="8">
        <v>0.90771622925444195</v>
      </c>
      <c r="G10" s="10">
        <v>44956</v>
      </c>
      <c r="H10" s="8">
        <v>0.76439006848756197</v>
      </c>
      <c r="I10" s="4"/>
    </row>
    <row r="11" spans="1:13" ht="14.4">
      <c r="A11" s="5" t="s">
        <v>171</v>
      </c>
      <c r="B11" s="6" t="s">
        <v>103</v>
      </c>
      <c r="C11" s="7" t="s">
        <v>104</v>
      </c>
      <c r="D11" s="10">
        <v>44886</v>
      </c>
      <c r="E11" s="8">
        <v>8</v>
      </c>
      <c r="F11" s="8">
        <v>0.46539821567982897</v>
      </c>
      <c r="G11" s="10">
        <v>45038</v>
      </c>
      <c r="H11" s="8">
        <v>0.39766402949830199</v>
      </c>
      <c r="I11" s="4"/>
    </row>
    <row r="12" spans="1:13" ht="14.4">
      <c r="A12" s="5" t="s">
        <v>174</v>
      </c>
      <c r="B12" s="6" t="s">
        <v>103</v>
      </c>
      <c r="C12" s="7" t="s">
        <v>104</v>
      </c>
      <c r="D12" s="10">
        <v>44297</v>
      </c>
      <c r="E12" s="8">
        <v>2</v>
      </c>
      <c r="F12" s="8">
        <v>2.2277472344418001E-2</v>
      </c>
      <c r="G12" s="10">
        <v>45053</v>
      </c>
      <c r="H12" s="8">
        <v>0.31572522679826798</v>
      </c>
      <c r="I12" s="4"/>
    </row>
    <row r="13" spans="1:13" ht="14.4">
      <c r="A13" s="5" t="s">
        <v>196</v>
      </c>
      <c r="B13" s="6" t="s">
        <v>103</v>
      </c>
      <c r="C13" s="7" t="s">
        <v>104</v>
      </c>
      <c r="D13" s="10">
        <v>44857</v>
      </c>
      <c r="E13" s="8">
        <v>5</v>
      </c>
      <c r="F13" s="8">
        <v>0.36944159210677702</v>
      </c>
      <c r="G13" s="10">
        <v>44944</v>
      </c>
      <c r="H13" s="8">
        <v>0.83598479662907399</v>
      </c>
      <c r="I13" s="4"/>
      <c r="M13">
        <v>1</v>
      </c>
    </row>
    <row r="14" spans="1:13" ht="14.4">
      <c r="A14" s="5" t="s">
        <v>197</v>
      </c>
      <c r="B14" s="6" t="s">
        <v>103</v>
      </c>
      <c r="C14" s="7" t="s">
        <v>104</v>
      </c>
      <c r="D14" s="10">
        <v>44607</v>
      </c>
      <c r="E14" s="8">
        <v>1</v>
      </c>
      <c r="F14" s="8">
        <v>0.58311714000128001</v>
      </c>
      <c r="G14" s="10">
        <v>44986</v>
      </c>
      <c r="H14" s="8">
        <v>0.132094119226041</v>
      </c>
      <c r="I14" s="4"/>
    </row>
    <row r="15" spans="1:13" ht="14.4">
      <c r="A15" s="5" t="s">
        <v>202</v>
      </c>
      <c r="B15" s="6" t="s">
        <v>103</v>
      </c>
      <c r="C15" s="7" t="s">
        <v>104</v>
      </c>
      <c r="D15" s="10">
        <v>44830</v>
      </c>
      <c r="E15" s="8">
        <v>2</v>
      </c>
      <c r="F15" s="8">
        <v>0.28151547287029699</v>
      </c>
      <c r="G15" s="10">
        <v>44971</v>
      </c>
      <c r="H15" s="8">
        <v>0.112845737208008</v>
      </c>
      <c r="I15" s="4"/>
      <c r="K15" s="25"/>
    </row>
    <row r="16" spans="1:13" ht="14.4">
      <c r="A16" s="5" t="s">
        <v>214</v>
      </c>
      <c r="B16" s="6" t="s">
        <v>103</v>
      </c>
      <c r="C16" s="7" t="s">
        <v>104</v>
      </c>
      <c r="D16" s="10">
        <v>44903</v>
      </c>
      <c r="E16" s="8">
        <v>1</v>
      </c>
      <c r="F16" s="8">
        <v>0.48177369539871401</v>
      </c>
      <c r="G16" s="10">
        <v>45046</v>
      </c>
      <c r="H16" s="8">
        <v>0.92834498334210402</v>
      </c>
      <c r="I16" s="4"/>
    </row>
    <row r="17" spans="1:10" ht="14.4">
      <c r="A17" s="5" t="s">
        <v>241</v>
      </c>
      <c r="B17" s="6" t="s">
        <v>103</v>
      </c>
      <c r="C17" s="7" t="s">
        <v>104</v>
      </c>
      <c r="D17" s="10">
        <v>44229</v>
      </c>
      <c r="E17" s="8">
        <v>10</v>
      </c>
      <c r="F17" s="8">
        <v>0.81758392927810297</v>
      </c>
      <c r="G17" s="10">
        <v>44937</v>
      </c>
      <c r="H17" s="8">
        <v>0.16419798109251399</v>
      </c>
      <c r="I17" s="4"/>
    </row>
    <row r="18" spans="1:10" ht="14.4">
      <c r="A18" s="5" t="s">
        <v>57</v>
      </c>
      <c r="B18" s="6" t="s">
        <v>58</v>
      </c>
      <c r="C18" s="7" t="s">
        <v>59</v>
      </c>
      <c r="D18" s="10">
        <v>44469</v>
      </c>
      <c r="E18" s="8">
        <v>2</v>
      </c>
      <c r="F18" s="8">
        <v>2.2027610408179498E-3</v>
      </c>
      <c r="G18" s="10">
        <v>45016</v>
      </c>
      <c r="H18" s="8">
        <v>0.38274839978632802</v>
      </c>
      <c r="I18" s="4"/>
      <c r="J18" s="25"/>
    </row>
    <row r="19" spans="1:10" ht="14.4">
      <c r="A19" s="5" t="s">
        <v>64</v>
      </c>
      <c r="B19" s="6" t="s">
        <v>58</v>
      </c>
      <c r="C19" s="7" t="s">
        <v>59</v>
      </c>
      <c r="D19" s="10">
        <v>44725</v>
      </c>
      <c r="E19" s="8">
        <v>8</v>
      </c>
      <c r="F19" s="8">
        <v>0.87889715359181098</v>
      </c>
      <c r="G19" s="10">
        <v>44932</v>
      </c>
      <c r="H19" s="8">
        <v>0.20020556920871699</v>
      </c>
      <c r="I19" s="4"/>
    </row>
    <row r="20" spans="1:10" ht="14.4">
      <c r="A20" s="5" t="s">
        <v>107</v>
      </c>
      <c r="B20" s="6" t="s">
        <v>58</v>
      </c>
      <c r="C20" s="7" t="s">
        <v>59</v>
      </c>
      <c r="D20" s="10">
        <v>44340</v>
      </c>
      <c r="E20" s="8">
        <v>9</v>
      </c>
      <c r="F20" s="8">
        <v>0.87646719833682096</v>
      </c>
      <c r="G20" s="10">
        <v>44957</v>
      </c>
      <c r="H20" s="8">
        <v>0.32932752883912297</v>
      </c>
      <c r="I20" s="4"/>
    </row>
    <row r="21" spans="1:10" ht="14.4">
      <c r="A21" s="5" t="s">
        <v>111</v>
      </c>
      <c r="B21" s="6" t="s">
        <v>58</v>
      </c>
      <c r="C21" s="7" t="s">
        <v>59</v>
      </c>
      <c r="D21" s="10">
        <v>44679</v>
      </c>
      <c r="E21" s="8">
        <v>1</v>
      </c>
      <c r="F21" s="8">
        <v>0.574831092396204</v>
      </c>
      <c r="G21" s="10">
        <v>44936</v>
      </c>
      <c r="H21" s="8">
        <v>0.14703843884491</v>
      </c>
      <c r="I21" s="4"/>
    </row>
    <row r="22" spans="1:10" ht="14.4">
      <c r="A22" s="5" t="s">
        <v>119</v>
      </c>
      <c r="B22" s="6" t="s">
        <v>58</v>
      </c>
      <c r="C22" s="7" t="s">
        <v>59</v>
      </c>
      <c r="D22" s="10">
        <v>44706</v>
      </c>
      <c r="E22" s="8">
        <v>1</v>
      </c>
      <c r="F22" s="8">
        <v>0.269555056043635</v>
      </c>
      <c r="G22" s="10">
        <v>45000</v>
      </c>
      <c r="H22" s="8">
        <v>0.122182361751799</v>
      </c>
      <c r="I22" s="4"/>
    </row>
    <row r="23" spans="1:10" ht="14.4">
      <c r="A23" s="5" t="s">
        <v>122</v>
      </c>
      <c r="B23" s="6" t="s">
        <v>58</v>
      </c>
      <c r="C23" s="7" t="s">
        <v>59</v>
      </c>
      <c r="D23" s="10">
        <v>44270</v>
      </c>
      <c r="E23" s="8">
        <v>3</v>
      </c>
      <c r="F23" s="8">
        <v>0.98933192835650696</v>
      </c>
      <c r="G23" s="10">
        <v>44952</v>
      </c>
      <c r="H23" s="8">
        <v>0.116747383128981</v>
      </c>
      <c r="I23" s="4"/>
    </row>
    <row r="24" spans="1:10" ht="14.4">
      <c r="A24" s="5" t="s">
        <v>137</v>
      </c>
      <c r="B24" s="6" t="s">
        <v>58</v>
      </c>
      <c r="C24" s="7" t="s">
        <v>59</v>
      </c>
      <c r="D24" s="10">
        <v>44557</v>
      </c>
      <c r="E24" s="8">
        <v>4</v>
      </c>
      <c r="F24" s="8">
        <v>3.6105377236760302E-3</v>
      </c>
      <c r="G24" s="10">
        <v>44993</v>
      </c>
      <c r="H24" s="8">
        <v>0.430410454177235</v>
      </c>
      <c r="I24" s="4"/>
    </row>
    <row r="25" spans="1:10" ht="14.4">
      <c r="A25" s="5" t="s">
        <v>152</v>
      </c>
      <c r="B25" s="6" t="s">
        <v>58</v>
      </c>
      <c r="C25" s="7" t="s">
        <v>59</v>
      </c>
      <c r="D25" s="10">
        <v>44903</v>
      </c>
      <c r="E25" s="8">
        <v>7</v>
      </c>
      <c r="F25" s="8">
        <v>0.60752716500644899</v>
      </c>
      <c r="G25" s="10">
        <v>45029</v>
      </c>
      <c r="H25" s="8">
        <v>0.90286839870973001</v>
      </c>
      <c r="I25" s="4"/>
    </row>
    <row r="26" spans="1:10" ht="14.4">
      <c r="A26" s="5" t="s">
        <v>155</v>
      </c>
      <c r="B26" s="6" t="s">
        <v>58</v>
      </c>
      <c r="C26" s="7" t="s">
        <v>59</v>
      </c>
      <c r="D26" s="10">
        <v>44276</v>
      </c>
      <c r="E26" s="8">
        <v>7</v>
      </c>
      <c r="F26" s="8">
        <v>0.95038285910889397</v>
      </c>
      <c r="G26" s="10">
        <v>45067</v>
      </c>
      <c r="H26" s="8">
        <v>0.493774747227402</v>
      </c>
      <c r="I26" s="4"/>
    </row>
    <row r="27" spans="1:10" ht="14.4">
      <c r="A27" s="5" t="s">
        <v>157</v>
      </c>
      <c r="B27" s="6" t="s">
        <v>58</v>
      </c>
      <c r="C27" s="7" t="s">
        <v>59</v>
      </c>
      <c r="D27" s="10">
        <v>44907</v>
      </c>
      <c r="E27" s="8">
        <v>9</v>
      </c>
      <c r="F27" s="8">
        <v>0.88394112549340798</v>
      </c>
      <c r="G27" s="10">
        <v>44949</v>
      </c>
      <c r="H27" s="8">
        <v>0.170650898099275</v>
      </c>
      <c r="I27" s="4"/>
    </row>
    <row r="28" spans="1:10" ht="14.4">
      <c r="A28" s="5" t="s">
        <v>172</v>
      </c>
      <c r="B28" s="6" t="s">
        <v>58</v>
      </c>
      <c r="C28" s="7" t="s">
        <v>59</v>
      </c>
      <c r="D28" s="10">
        <v>44380</v>
      </c>
      <c r="E28" s="8">
        <v>2</v>
      </c>
      <c r="F28" s="8">
        <v>0.41769016811982401</v>
      </c>
      <c r="G28" s="10">
        <v>44990</v>
      </c>
      <c r="H28" s="8">
        <v>0.67060305745283799</v>
      </c>
      <c r="I28" s="4"/>
    </row>
    <row r="29" spans="1:10" ht="14.4">
      <c r="A29" s="5" t="s">
        <v>194</v>
      </c>
      <c r="B29" s="6" t="s">
        <v>58</v>
      </c>
      <c r="C29" s="7" t="s">
        <v>59</v>
      </c>
      <c r="D29" s="10">
        <v>44616</v>
      </c>
      <c r="E29" s="8">
        <v>7</v>
      </c>
      <c r="F29" s="8">
        <v>0.41475447056245102</v>
      </c>
      <c r="G29" s="10">
        <v>44992</v>
      </c>
      <c r="H29" s="8">
        <v>0.41302964862980401</v>
      </c>
      <c r="I29" s="4"/>
    </row>
    <row r="30" spans="1:10" ht="14.4">
      <c r="A30" s="5" t="s">
        <v>209</v>
      </c>
      <c r="B30" s="6" t="s">
        <v>58</v>
      </c>
      <c r="C30" s="7" t="s">
        <v>59</v>
      </c>
      <c r="D30" s="10">
        <v>44354</v>
      </c>
      <c r="E30" s="8">
        <v>7</v>
      </c>
      <c r="F30" s="8">
        <v>0.98744929724646802</v>
      </c>
      <c r="G30" s="10">
        <v>45049</v>
      </c>
      <c r="H30" s="8">
        <v>0.21163360381443899</v>
      </c>
      <c r="I30" s="4"/>
    </row>
    <row r="31" spans="1:10" ht="14.4">
      <c r="A31" s="5" t="s">
        <v>240</v>
      </c>
      <c r="B31" s="6" t="s">
        <v>58</v>
      </c>
      <c r="C31" s="7" t="s">
        <v>59</v>
      </c>
      <c r="D31" s="10">
        <v>44409</v>
      </c>
      <c r="E31" s="8">
        <v>2</v>
      </c>
      <c r="F31" s="8">
        <v>0.56649641364178105</v>
      </c>
      <c r="G31" s="10">
        <v>44948</v>
      </c>
      <c r="H31" s="8">
        <v>0.76019400248091895</v>
      </c>
      <c r="I31" s="4"/>
    </row>
    <row r="32" spans="1:10" ht="14.4">
      <c r="A32" s="5" t="s">
        <v>243</v>
      </c>
      <c r="B32" s="6" t="s">
        <v>58</v>
      </c>
      <c r="C32" s="7" t="s">
        <v>59</v>
      </c>
      <c r="D32" s="10">
        <v>44828</v>
      </c>
      <c r="E32" s="8">
        <v>6</v>
      </c>
      <c r="F32" s="8">
        <v>0.51291771398490105</v>
      </c>
      <c r="G32" s="10">
        <v>44987</v>
      </c>
      <c r="H32" s="8">
        <v>0.755021488484095</v>
      </c>
      <c r="I32" s="4"/>
    </row>
    <row r="33" spans="1:9" ht="14.4">
      <c r="A33" s="5" t="s">
        <v>245</v>
      </c>
      <c r="B33" s="6" t="s">
        <v>58</v>
      </c>
      <c r="C33" s="7" t="s">
        <v>59</v>
      </c>
      <c r="D33" s="10">
        <v>44502</v>
      </c>
      <c r="E33" s="8">
        <v>8</v>
      </c>
      <c r="F33" s="8">
        <v>0.91352809441905303</v>
      </c>
      <c r="G33" s="10">
        <v>44978</v>
      </c>
      <c r="H33" s="8">
        <v>0.137985792121295</v>
      </c>
      <c r="I33" s="4"/>
    </row>
    <row r="34" spans="1:9" ht="14.4">
      <c r="A34" s="5" t="s">
        <v>29</v>
      </c>
      <c r="B34" s="6" t="s">
        <v>30</v>
      </c>
      <c r="C34" s="7" t="s">
        <v>31</v>
      </c>
      <c r="D34" s="10">
        <v>44472</v>
      </c>
      <c r="E34" s="8">
        <v>10</v>
      </c>
      <c r="F34" s="8">
        <v>0.41670439236003598</v>
      </c>
      <c r="G34" s="10">
        <v>45045</v>
      </c>
      <c r="H34" s="8">
        <v>0.54934508287877304</v>
      </c>
      <c r="I34" s="4"/>
    </row>
    <row r="35" spans="1:9" ht="14.4">
      <c r="A35" s="5" t="s">
        <v>63</v>
      </c>
      <c r="B35" s="6" t="s">
        <v>30</v>
      </c>
      <c r="C35" s="7" t="s">
        <v>31</v>
      </c>
      <c r="D35" s="10">
        <v>44882</v>
      </c>
      <c r="E35" s="8">
        <v>2</v>
      </c>
      <c r="F35" s="8">
        <v>0.83894286337563995</v>
      </c>
      <c r="G35" s="10">
        <v>44933</v>
      </c>
      <c r="H35" s="8">
        <v>0.67630232908539301</v>
      </c>
      <c r="I35" s="4"/>
    </row>
    <row r="36" spans="1:9" ht="14.4">
      <c r="A36" s="5" t="s">
        <v>90</v>
      </c>
      <c r="B36" s="6" t="s">
        <v>30</v>
      </c>
      <c r="C36" s="7" t="s">
        <v>31</v>
      </c>
      <c r="D36" s="10">
        <v>44340</v>
      </c>
      <c r="E36" s="8">
        <v>10</v>
      </c>
      <c r="F36" s="8">
        <v>0.702645841021446</v>
      </c>
      <c r="G36" s="10">
        <v>44928</v>
      </c>
      <c r="H36" s="8">
        <v>0.369783832169231</v>
      </c>
      <c r="I36" s="4"/>
    </row>
    <row r="37" spans="1:9" ht="14.4">
      <c r="A37" s="5" t="s">
        <v>145</v>
      </c>
      <c r="B37" s="6" t="s">
        <v>30</v>
      </c>
      <c r="C37" s="7" t="s">
        <v>31</v>
      </c>
      <c r="D37" s="10">
        <v>44872</v>
      </c>
      <c r="E37" s="8">
        <v>6</v>
      </c>
      <c r="F37" s="8">
        <v>0.34955930087119302</v>
      </c>
      <c r="G37" s="10">
        <v>44929</v>
      </c>
      <c r="H37" s="8">
        <v>0.53327527116873796</v>
      </c>
      <c r="I37" s="4"/>
    </row>
    <row r="38" spans="1:9" ht="14.4">
      <c r="A38" s="5" t="s">
        <v>178</v>
      </c>
      <c r="B38" s="6" t="s">
        <v>30</v>
      </c>
      <c r="C38" s="7" t="s">
        <v>31</v>
      </c>
      <c r="D38" s="10">
        <v>44244</v>
      </c>
      <c r="E38" s="8">
        <v>2</v>
      </c>
      <c r="F38" s="8">
        <v>0.55145811024395297</v>
      </c>
      <c r="G38" s="10">
        <v>44938</v>
      </c>
      <c r="H38" s="8">
        <v>0.43942741221319298</v>
      </c>
      <c r="I38" s="4"/>
    </row>
    <row r="39" spans="1:9" ht="14.4">
      <c r="A39" s="5" t="s">
        <v>185</v>
      </c>
      <c r="B39" s="6" t="s">
        <v>30</v>
      </c>
      <c r="C39" s="7" t="s">
        <v>31</v>
      </c>
      <c r="D39" s="10">
        <v>44690</v>
      </c>
      <c r="E39" s="8">
        <v>5</v>
      </c>
      <c r="F39" s="8">
        <v>0.55996144918041602</v>
      </c>
      <c r="G39" s="10">
        <v>44982</v>
      </c>
      <c r="H39" s="8">
        <v>4.0845294204603297E-3</v>
      </c>
      <c r="I39" s="4"/>
    </row>
    <row r="40" spans="1:9" ht="14.4">
      <c r="A40" s="5" t="s">
        <v>187</v>
      </c>
      <c r="B40" s="6" t="s">
        <v>30</v>
      </c>
      <c r="C40" s="7" t="s">
        <v>31</v>
      </c>
      <c r="D40" s="10">
        <v>44769</v>
      </c>
      <c r="E40" s="8">
        <v>5</v>
      </c>
      <c r="F40" s="8">
        <v>0.72618042932337601</v>
      </c>
      <c r="G40" s="10">
        <v>45013</v>
      </c>
      <c r="H40" s="8">
        <v>0.31138195774945998</v>
      </c>
      <c r="I40" s="4"/>
    </row>
    <row r="41" spans="1:9" ht="14.4">
      <c r="A41" s="5" t="s">
        <v>208</v>
      </c>
      <c r="B41" s="6" t="s">
        <v>30</v>
      </c>
      <c r="C41" s="7" t="s">
        <v>31</v>
      </c>
      <c r="D41" s="10">
        <v>44916</v>
      </c>
      <c r="E41" s="8">
        <v>6</v>
      </c>
      <c r="F41" s="8">
        <v>0.48045901029779903</v>
      </c>
      <c r="G41" s="10">
        <v>45064</v>
      </c>
      <c r="H41" s="8">
        <v>0.433788778732414</v>
      </c>
      <c r="I41" s="4"/>
    </row>
    <row r="42" spans="1:9" ht="14.4">
      <c r="A42" s="5" t="s">
        <v>48</v>
      </c>
      <c r="B42" s="6" t="s">
        <v>49</v>
      </c>
      <c r="C42" s="7" t="s">
        <v>50</v>
      </c>
      <c r="D42" s="10">
        <v>44341</v>
      </c>
      <c r="E42" s="8">
        <v>4</v>
      </c>
      <c r="F42" s="8">
        <v>0.221183884694959</v>
      </c>
      <c r="G42" s="10">
        <v>44964</v>
      </c>
      <c r="H42" s="8">
        <v>0.33188863151931702</v>
      </c>
      <c r="I42" s="4"/>
    </row>
    <row r="43" spans="1:9" ht="14.4">
      <c r="A43" s="5" t="s">
        <v>70</v>
      </c>
      <c r="B43" s="6" t="s">
        <v>71</v>
      </c>
      <c r="C43" s="7" t="s">
        <v>50</v>
      </c>
      <c r="D43" s="10">
        <v>44239</v>
      </c>
      <c r="E43" s="8">
        <v>9</v>
      </c>
      <c r="F43" s="8">
        <v>3.8415611438702597E-2</v>
      </c>
      <c r="G43" s="10">
        <v>45034</v>
      </c>
      <c r="H43" s="8">
        <v>0.69214535069910299</v>
      </c>
      <c r="I43" s="4"/>
    </row>
    <row r="44" spans="1:9" ht="14.4">
      <c r="A44" s="5" t="s">
        <v>87</v>
      </c>
      <c r="B44" s="6" t="s">
        <v>49</v>
      </c>
      <c r="C44" s="7" t="s">
        <v>50</v>
      </c>
      <c r="D44" s="10">
        <v>44338</v>
      </c>
      <c r="E44" s="8">
        <v>9</v>
      </c>
      <c r="F44" s="8">
        <v>0.71155870482197403</v>
      </c>
      <c r="G44" s="10">
        <v>45045</v>
      </c>
      <c r="H44" s="8">
        <v>0.15390650537949099</v>
      </c>
      <c r="I44" s="4"/>
    </row>
    <row r="45" spans="1:9" ht="14.4">
      <c r="A45" s="5" t="s">
        <v>100</v>
      </c>
      <c r="B45" s="6" t="s">
        <v>71</v>
      </c>
      <c r="C45" s="7" t="s">
        <v>50</v>
      </c>
      <c r="D45" s="10">
        <v>44420</v>
      </c>
      <c r="E45" s="8">
        <v>4</v>
      </c>
      <c r="F45" s="8">
        <v>0.71929697815108395</v>
      </c>
      <c r="G45" s="10">
        <v>45029</v>
      </c>
      <c r="H45" s="8">
        <v>5.4091466872212501E-2</v>
      </c>
      <c r="I45" s="4"/>
    </row>
    <row r="46" spans="1:9" ht="14.4">
      <c r="A46" s="5" t="s">
        <v>110</v>
      </c>
      <c r="B46" s="6" t="s">
        <v>71</v>
      </c>
      <c r="C46" s="7" t="s">
        <v>50</v>
      </c>
      <c r="D46" s="10">
        <v>44659</v>
      </c>
      <c r="E46" s="8">
        <v>2</v>
      </c>
      <c r="F46" s="8">
        <v>0.68555193640676504</v>
      </c>
      <c r="G46" s="10">
        <v>45014</v>
      </c>
      <c r="H46" s="8">
        <v>0.40035912772023502</v>
      </c>
      <c r="I46" s="4"/>
    </row>
    <row r="47" spans="1:9" ht="14.4">
      <c r="A47" s="5" t="s">
        <v>127</v>
      </c>
      <c r="B47" s="6" t="s">
        <v>49</v>
      </c>
      <c r="C47" s="7" t="s">
        <v>50</v>
      </c>
      <c r="D47" s="10">
        <v>44703</v>
      </c>
      <c r="E47" s="8">
        <v>1</v>
      </c>
      <c r="F47" s="8">
        <v>0.105161391848884</v>
      </c>
      <c r="G47" s="10">
        <v>45054</v>
      </c>
      <c r="H47" s="8">
        <v>0.22690729464404399</v>
      </c>
      <c r="I47" s="4"/>
    </row>
    <row r="48" spans="1:9" ht="14.4">
      <c r="A48" s="5" t="s">
        <v>188</v>
      </c>
      <c r="B48" s="6" t="s">
        <v>71</v>
      </c>
      <c r="C48" s="7" t="s">
        <v>50</v>
      </c>
      <c r="D48" s="10">
        <v>44206</v>
      </c>
      <c r="E48" s="8">
        <v>3</v>
      </c>
      <c r="F48" s="8">
        <v>0.113699112632604</v>
      </c>
      <c r="G48" s="10">
        <v>45012</v>
      </c>
      <c r="H48" s="8">
        <v>3.0869795040312301E-2</v>
      </c>
      <c r="I48" s="4"/>
    </row>
    <row r="49" spans="1:9" ht="14.4">
      <c r="A49" s="5" t="s">
        <v>190</v>
      </c>
      <c r="B49" s="6" t="s">
        <v>71</v>
      </c>
      <c r="C49" s="7" t="s">
        <v>50</v>
      </c>
      <c r="D49" s="10">
        <v>44484</v>
      </c>
      <c r="E49" s="8">
        <v>4</v>
      </c>
      <c r="F49" s="8">
        <v>0.573839853564304</v>
      </c>
      <c r="G49" s="10">
        <v>45050</v>
      </c>
      <c r="H49" s="8">
        <v>0.74143260510805697</v>
      </c>
      <c r="I49" s="4"/>
    </row>
    <row r="50" spans="1:9" ht="14.4">
      <c r="A50" s="5" t="s">
        <v>199</v>
      </c>
      <c r="B50" s="6" t="s">
        <v>71</v>
      </c>
      <c r="C50" s="7" t="s">
        <v>50</v>
      </c>
      <c r="D50" s="10">
        <v>44684</v>
      </c>
      <c r="E50" s="8">
        <v>8</v>
      </c>
      <c r="F50" s="8">
        <v>0.29111039384551202</v>
      </c>
      <c r="G50" s="10">
        <v>45003</v>
      </c>
      <c r="H50" s="8">
        <v>0.67736656660512595</v>
      </c>
      <c r="I50" s="4"/>
    </row>
    <row r="51" spans="1:9" ht="14.4">
      <c r="A51" s="5" t="s">
        <v>200</v>
      </c>
      <c r="B51" s="6" t="s">
        <v>71</v>
      </c>
      <c r="C51" s="7" t="s">
        <v>50</v>
      </c>
      <c r="D51" s="10">
        <v>44240</v>
      </c>
      <c r="E51" s="8">
        <v>4</v>
      </c>
      <c r="F51" s="8">
        <v>0.112536236136402</v>
      </c>
      <c r="G51" s="10">
        <v>45051</v>
      </c>
      <c r="H51" s="8">
        <v>0.73892418680528005</v>
      </c>
      <c r="I51" s="4"/>
    </row>
    <row r="52" spans="1:9" ht="14.4">
      <c r="A52" s="5" t="s">
        <v>207</v>
      </c>
      <c r="B52" s="6" t="s">
        <v>49</v>
      </c>
      <c r="C52" s="7" t="s">
        <v>50</v>
      </c>
      <c r="D52" s="10">
        <v>44745</v>
      </c>
      <c r="E52" s="8">
        <v>5</v>
      </c>
      <c r="F52" s="8">
        <v>0.74838580953710099</v>
      </c>
      <c r="G52" s="10">
        <v>44980</v>
      </c>
      <c r="H52" s="8">
        <v>0.56239389347784197</v>
      </c>
      <c r="I52" s="4"/>
    </row>
    <row r="53" spans="1:9" ht="14.4">
      <c r="A53" s="5" t="s">
        <v>211</v>
      </c>
      <c r="B53" s="6" t="s">
        <v>49</v>
      </c>
      <c r="C53" s="7" t="s">
        <v>50</v>
      </c>
      <c r="D53" s="10">
        <v>44801</v>
      </c>
      <c r="E53" s="8">
        <v>4</v>
      </c>
      <c r="F53" s="8">
        <v>6.3638338964366797E-2</v>
      </c>
      <c r="G53" s="10">
        <v>45014</v>
      </c>
      <c r="H53" s="8">
        <v>0.82222519151117301</v>
      </c>
      <c r="I53" s="4"/>
    </row>
    <row r="54" spans="1:9" ht="14.4">
      <c r="A54" s="5" t="s">
        <v>218</v>
      </c>
      <c r="B54" s="6" t="s">
        <v>49</v>
      </c>
      <c r="C54" s="7" t="s">
        <v>50</v>
      </c>
      <c r="D54" s="10">
        <v>44779</v>
      </c>
      <c r="E54" s="8">
        <v>4</v>
      </c>
      <c r="F54" s="8">
        <v>0.90284110874477896</v>
      </c>
      <c r="G54" s="10">
        <v>45008</v>
      </c>
      <c r="H54" s="8">
        <v>0.63507569454438495</v>
      </c>
      <c r="I54" s="4"/>
    </row>
    <row r="55" spans="1:9" ht="14.4">
      <c r="A55" s="5" t="s">
        <v>222</v>
      </c>
      <c r="B55" s="6" t="s">
        <v>49</v>
      </c>
      <c r="C55" s="7" t="s">
        <v>50</v>
      </c>
      <c r="D55" s="10">
        <v>44211</v>
      </c>
      <c r="E55" s="8">
        <v>6</v>
      </c>
      <c r="F55" s="8">
        <v>0.76879912576772802</v>
      </c>
      <c r="G55" s="10">
        <v>45006</v>
      </c>
      <c r="H55" s="8">
        <v>0.86548533755676105</v>
      </c>
      <c r="I55" s="4"/>
    </row>
    <row r="56" spans="1:9" ht="14.4">
      <c r="A56" s="5" t="s">
        <v>237</v>
      </c>
      <c r="B56" s="6" t="s">
        <v>49</v>
      </c>
      <c r="C56" s="7" t="s">
        <v>50</v>
      </c>
      <c r="D56" s="10">
        <v>44760</v>
      </c>
      <c r="E56" s="8">
        <v>6</v>
      </c>
      <c r="F56" s="8">
        <v>0.91937449423976403</v>
      </c>
      <c r="G56" s="10">
        <v>44941</v>
      </c>
      <c r="H56" s="8">
        <v>0.80855685548065803</v>
      </c>
      <c r="I56" s="4"/>
    </row>
    <row r="57" spans="1:9" ht="14.4">
      <c r="A57" s="5" t="s">
        <v>238</v>
      </c>
      <c r="B57" s="6" t="s">
        <v>71</v>
      </c>
      <c r="C57" s="7" t="s">
        <v>50</v>
      </c>
      <c r="D57" s="10">
        <v>44391</v>
      </c>
      <c r="E57" s="8">
        <v>1</v>
      </c>
      <c r="F57" s="8">
        <v>0.26377783191771698</v>
      </c>
      <c r="G57" s="10">
        <v>44943</v>
      </c>
      <c r="H57" s="8">
        <v>0.53464391868976202</v>
      </c>
      <c r="I57" s="4"/>
    </row>
    <row r="58" spans="1:9" ht="14.4">
      <c r="A58" s="5" t="s">
        <v>20</v>
      </c>
      <c r="B58" s="6" t="s">
        <v>21</v>
      </c>
      <c r="C58" s="7" t="s">
        <v>22</v>
      </c>
      <c r="D58" s="10">
        <v>44529</v>
      </c>
      <c r="E58" s="8">
        <v>1</v>
      </c>
      <c r="F58" s="8">
        <v>0.30386848867018701</v>
      </c>
      <c r="G58" s="10">
        <v>44969</v>
      </c>
      <c r="H58" s="8">
        <v>0.97814412656590199</v>
      </c>
      <c r="I58" s="4"/>
    </row>
    <row r="59" spans="1:9" ht="14.4">
      <c r="A59" s="5" t="s">
        <v>32</v>
      </c>
      <c r="B59" s="6" t="s">
        <v>21</v>
      </c>
      <c r="C59" s="7" t="s">
        <v>22</v>
      </c>
      <c r="D59" s="10">
        <v>44587</v>
      </c>
      <c r="E59" s="8">
        <v>6</v>
      </c>
      <c r="F59" s="8">
        <v>0.24316986891245501</v>
      </c>
      <c r="G59" s="10">
        <v>44987</v>
      </c>
      <c r="H59" s="8">
        <v>0.420232824731951</v>
      </c>
      <c r="I59" s="4"/>
    </row>
    <row r="60" spans="1:9" ht="14.4">
      <c r="A60" s="5" t="s">
        <v>77</v>
      </c>
      <c r="B60" s="6" t="s">
        <v>21</v>
      </c>
      <c r="C60" s="7" t="s">
        <v>22</v>
      </c>
      <c r="D60" s="10">
        <v>44198</v>
      </c>
      <c r="E60" s="8">
        <v>3</v>
      </c>
      <c r="F60" s="8">
        <v>0.80123839065137303</v>
      </c>
      <c r="G60" s="10">
        <v>45049</v>
      </c>
      <c r="H60" s="8">
        <v>0.30527628395158701</v>
      </c>
      <c r="I60" s="4"/>
    </row>
    <row r="61" spans="1:9" ht="14.4">
      <c r="A61" s="5" t="s">
        <v>117</v>
      </c>
      <c r="B61" s="6" t="s">
        <v>21</v>
      </c>
      <c r="C61" s="7" t="s">
        <v>22</v>
      </c>
      <c r="D61" s="10">
        <v>44644</v>
      </c>
      <c r="E61" s="8">
        <v>4</v>
      </c>
      <c r="F61" s="8">
        <v>0.81530857906975795</v>
      </c>
      <c r="G61" s="10">
        <v>44954</v>
      </c>
      <c r="H61" s="8">
        <v>0.48260987316073201</v>
      </c>
      <c r="I61" s="4"/>
    </row>
    <row r="62" spans="1:9" ht="14.4">
      <c r="A62" s="5" t="s">
        <v>128</v>
      </c>
      <c r="B62" s="6" t="s">
        <v>129</v>
      </c>
      <c r="C62" s="7" t="s">
        <v>22</v>
      </c>
      <c r="D62" s="10">
        <v>44742</v>
      </c>
      <c r="E62" s="8">
        <v>6</v>
      </c>
      <c r="F62" s="8">
        <v>0.11408685507641</v>
      </c>
      <c r="G62" s="10">
        <v>44954</v>
      </c>
      <c r="H62" s="8">
        <v>0.33571676903915298</v>
      </c>
      <c r="I62" s="4"/>
    </row>
    <row r="63" spans="1:9" ht="14.4">
      <c r="A63" s="5" t="s">
        <v>131</v>
      </c>
      <c r="B63" s="6" t="s">
        <v>129</v>
      </c>
      <c r="C63" s="7" t="s">
        <v>22</v>
      </c>
      <c r="D63" s="10">
        <v>44721</v>
      </c>
      <c r="E63" s="8">
        <v>6</v>
      </c>
      <c r="F63" s="8">
        <v>1.6069181318315098E-2</v>
      </c>
      <c r="G63" s="10">
        <v>44928</v>
      </c>
      <c r="H63" s="8">
        <v>0.93551003990677095</v>
      </c>
      <c r="I63" s="4"/>
    </row>
    <row r="64" spans="1:9" ht="14.4">
      <c r="A64" s="5" t="s">
        <v>135</v>
      </c>
      <c r="B64" s="6" t="s">
        <v>21</v>
      </c>
      <c r="C64" s="7" t="s">
        <v>22</v>
      </c>
      <c r="D64" s="10">
        <v>44279</v>
      </c>
      <c r="E64" s="8">
        <v>10</v>
      </c>
      <c r="F64" s="8">
        <v>0.17894362318854701</v>
      </c>
      <c r="G64" s="10">
        <v>45026</v>
      </c>
      <c r="H64" s="8">
        <v>0.27983535659688702</v>
      </c>
      <c r="I64" s="4"/>
    </row>
    <row r="65" spans="1:9" ht="14.4">
      <c r="A65" s="5" t="s">
        <v>140</v>
      </c>
      <c r="B65" s="6" t="s">
        <v>21</v>
      </c>
      <c r="C65" s="7" t="s">
        <v>22</v>
      </c>
      <c r="D65" s="10">
        <v>44235</v>
      </c>
      <c r="E65" s="8">
        <v>2</v>
      </c>
      <c r="F65" s="8">
        <v>0.86236623667253698</v>
      </c>
      <c r="G65" s="10">
        <v>45015</v>
      </c>
      <c r="H65" s="8">
        <v>0.56413054876588398</v>
      </c>
      <c r="I65" s="4"/>
    </row>
    <row r="66" spans="1:9" ht="14.4">
      <c r="A66" s="5" t="s">
        <v>141</v>
      </c>
      <c r="B66" s="6" t="s">
        <v>129</v>
      </c>
      <c r="C66" s="7" t="s">
        <v>22</v>
      </c>
      <c r="D66" s="10">
        <v>44774</v>
      </c>
      <c r="E66" s="8">
        <v>5</v>
      </c>
      <c r="F66" s="8">
        <v>0.309379274915278</v>
      </c>
      <c r="G66" s="10">
        <v>45015</v>
      </c>
      <c r="H66" s="8">
        <v>6.4512653240185102E-3</v>
      </c>
      <c r="I66" s="4"/>
    </row>
    <row r="67" spans="1:9" ht="14.4">
      <c r="A67" s="5" t="s">
        <v>143</v>
      </c>
      <c r="B67" s="6" t="s">
        <v>129</v>
      </c>
      <c r="C67" s="7" t="s">
        <v>22</v>
      </c>
      <c r="D67" s="10">
        <v>44491</v>
      </c>
      <c r="E67" s="8">
        <v>4</v>
      </c>
      <c r="F67" s="8">
        <v>0.20150989296011099</v>
      </c>
      <c r="G67" s="10">
        <v>45067</v>
      </c>
      <c r="H67" s="8">
        <v>0.23936851527945999</v>
      </c>
      <c r="I67" s="4"/>
    </row>
    <row r="68" spans="1:9" ht="14.4">
      <c r="A68" s="5" t="s">
        <v>154</v>
      </c>
      <c r="B68" s="6" t="s">
        <v>21</v>
      </c>
      <c r="C68" s="7" t="s">
        <v>22</v>
      </c>
      <c r="D68" s="10">
        <v>44716</v>
      </c>
      <c r="E68" s="8">
        <v>1</v>
      </c>
      <c r="F68" s="8">
        <v>0.165768699711766</v>
      </c>
      <c r="G68" s="10">
        <v>44958</v>
      </c>
      <c r="H68" s="8">
        <v>0.35219920122081899</v>
      </c>
      <c r="I68" s="4"/>
    </row>
    <row r="69" spans="1:9" ht="14.4">
      <c r="A69" s="5" t="s">
        <v>181</v>
      </c>
      <c r="B69" s="6" t="s">
        <v>129</v>
      </c>
      <c r="C69" s="7" t="s">
        <v>22</v>
      </c>
      <c r="D69" s="10">
        <v>44442</v>
      </c>
      <c r="E69" s="8">
        <v>9</v>
      </c>
      <c r="F69" s="8">
        <v>0.351563700735118</v>
      </c>
      <c r="G69" s="10">
        <v>45023</v>
      </c>
      <c r="H69" s="8">
        <v>0.95442216883254405</v>
      </c>
      <c r="I69" s="4"/>
    </row>
    <row r="70" spans="1:9" ht="14.4">
      <c r="A70" s="5" t="s">
        <v>186</v>
      </c>
      <c r="B70" s="6" t="s">
        <v>129</v>
      </c>
      <c r="C70" s="7" t="s">
        <v>22</v>
      </c>
      <c r="D70" s="10">
        <v>44521</v>
      </c>
      <c r="E70" s="8">
        <v>4</v>
      </c>
      <c r="F70" s="8">
        <v>0.56230632063577901</v>
      </c>
      <c r="G70" s="10">
        <v>45060</v>
      </c>
      <c r="H70" s="8">
        <v>0.68743114384612203</v>
      </c>
      <c r="I70" s="4"/>
    </row>
    <row r="71" spans="1:9" ht="14.4">
      <c r="A71" s="5" t="s">
        <v>189</v>
      </c>
      <c r="B71" s="6" t="s">
        <v>129</v>
      </c>
      <c r="C71" s="7" t="s">
        <v>22</v>
      </c>
      <c r="D71" s="10">
        <v>44822</v>
      </c>
      <c r="E71" s="8">
        <v>1</v>
      </c>
      <c r="F71" s="8">
        <v>8.6409222229514596E-2</v>
      </c>
      <c r="G71" s="10">
        <v>44945</v>
      </c>
      <c r="H71" s="8">
        <v>0.720395287309052</v>
      </c>
      <c r="I71" s="4"/>
    </row>
    <row r="72" spans="1:9" ht="14.4">
      <c r="A72" s="5" t="s">
        <v>212</v>
      </c>
      <c r="B72" s="6" t="s">
        <v>21</v>
      </c>
      <c r="C72" s="7" t="s">
        <v>22</v>
      </c>
      <c r="D72" s="10">
        <v>44515</v>
      </c>
      <c r="E72" s="8">
        <v>3</v>
      </c>
      <c r="F72" s="8">
        <v>7.0327700844507193E-2</v>
      </c>
      <c r="G72" s="10">
        <v>44974</v>
      </c>
      <c r="H72" s="8">
        <v>9.4112460113233404E-2</v>
      </c>
      <c r="I72" s="4"/>
    </row>
    <row r="73" spans="1:9" ht="14.4">
      <c r="A73" s="5" t="s">
        <v>221</v>
      </c>
      <c r="B73" s="6" t="s">
        <v>129</v>
      </c>
      <c r="C73" s="7" t="s">
        <v>22</v>
      </c>
      <c r="D73" s="10">
        <v>44836</v>
      </c>
      <c r="E73" s="8">
        <v>5</v>
      </c>
      <c r="F73" s="8">
        <v>0.30637569785375002</v>
      </c>
      <c r="G73" s="10">
        <v>45008</v>
      </c>
      <c r="H73" s="8">
        <v>1.25503463839893E-3</v>
      </c>
      <c r="I73" s="4"/>
    </row>
    <row r="74" spans="1:9" ht="14.4">
      <c r="A74" s="5" t="s">
        <v>33</v>
      </c>
      <c r="B74" s="6" t="s">
        <v>34</v>
      </c>
      <c r="C74" s="7" t="s">
        <v>35</v>
      </c>
      <c r="D74" s="10">
        <v>44407</v>
      </c>
      <c r="E74" s="8">
        <v>5</v>
      </c>
      <c r="F74" s="8">
        <v>0.80079383386161695</v>
      </c>
      <c r="G74" s="10">
        <v>44996</v>
      </c>
      <c r="H74" s="8">
        <v>0.89666229529100405</v>
      </c>
      <c r="I74" s="4"/>
    </row>
    <row r="75" spans="1:9" ht="14.4">
      <c r="A75" s="5" t="s">
        <v>68</v>
      </c>
      <c r="B75" s="6" t="s">
        <v>34</v>
      </c>
      <c r="C75" s="7" t="s">
        <v>35</v>
      </c>
      <c r="D75" s="10">
        <v>44281</v>
      </c>
      <c r="E75" s="8">
        <v>1</v>
      </c>
      <c r="F75" s="8">
        <v>0.31751651418006399</v>
      </c>
      <c r="G75" s="10">
        <v>44967</v>
      </c>
      <c r="H75" s="8">
        <v>0.47080505116614901</v>
      </c>
      <c r="I75" s="4"/>
    </row>
    <row r="76" spans="1:9" ht="14.4">
      <c r="A76" s="5" t="s">
        <v>75</v>
      </c>
      <c r="B76" s="6" t="s">
        <v>34</v>
      </c>
      <c r="C76" s="7" t="s">
        <v>35</v>
      </c>
      <c r="D76" s="10">
        <v>44446</v>
      </c>
      <c r="E76" s="8">
        <v>5</v>
      </c>
      <c r="F76" s="8">
        <v>0.72585135876436702</v>
      </c>
      <c r="G76" s="10">
        <v>45053</v>
      </c>
      <c r="H76" s="8">
        <v>0.173994592694031</v>
      </c>
      <c r="I76" s="4"/>
    </row>
    <row r="77" spans="1:9" ht="14.4">
      <c r="A77" s="5" t="s">
        <v>79</v>
      </c>
      <c r="B77" s="6" t="s">
        <v>34</v>
      </c>
      <c r="C77" s="7" t="s">
        <v>35</v>
      </c>
      <c r="D77" s="10">
        <v>44503</v>
      </c>
      <c r="E77" s="8">
        <v>3</v>
      </c>
      <c r="F77" s="8">
        <v>0.89411437906362101</v>
      </c>
      <c r="G77" s="10">
        <v>44951</v>
      </c>
      <c r="H77" s="8">
        <v>0.15236785201696099</v>
      </c>
      <c r="I77" s="4"/>
    </row>
    <row r="78" spans="1:9" ht="14.4">
      <c r="A78" s="5" t="s">
        <v>88</v>
      </c>
      <c r="B78" s="6" t="s">
        <v>34</v>
      </c>
      <c r="C78" s="7" t="s">
        <v>35</v>
      </c>
      <c r="D78" s="10">
        <v>44274</v>
      </c>
      <c r="E78" s="8">
        <v>6</v>
      </c>
      <c r="F78" s="8">
        <v>6.4033223650055093E-2</v>
      </c>
      <c r="G78" s="10">
        <v>45004</v>
      </c>
      <c r="H78" s="8">
        <v>4.2104998611888203E-3</v>
      </c>
      <c r="I78" s="4"/>
    </row>
    <row r="79" spans="1:9" ht="14.4">
      <c r="A79" s="5" t="s">
        <v>101</v>
      </c>
      <c r="B79" s="6" t="s">
        <v>34</v>
      </c>
      <c r="C79" s="7" t="s">
        <v>35</v>
      </c>
      <c r="D79" s="10">
        <v>44922</v>
      </c>
      <c r="E79" s="8">
        <v>6</v>
      </c>
      <c r="F79" s="8">
        <v>0.45894107528788403</v>
      </c>
      <c r="G79" s="10">
        <v>44952</v>
      </c>
      <c r="H79" s="8">
        <v>0.64879966285478297</v>
      </c>
      <c r="I79" s="4"/>
    </row>
    <row r="80" spans="1:9" ht="14.4">
      <c r="A80" s="5" t="s">
        <v>108</v>
      </c>
      <c r="B80" s="6" t="s">
        <v>34</v>
      </c>
      <c r="C80" s="7" t="s">
        <v>35</v>
      </c>
      <c r="D80" s="10">
        <v>44773</v>
      </c>
      <c r="E80" s="8">
        <v>5</v>
      </c>
      <c r="F80" s="8">
        <v>0.68720157697523698</v>
      </c>
      <c r="G80" s="10">
        <v>45054</v>
      </c>
      <c r="H80" s="8">
        <v>0.79990973215818495</v>
      </c>
      <c r="I80" s="4"/>
    </row>
    <row r="81" spans="1:9" ht="14.4">
      <c r="A81" s="5" t="s">
        <v>121</v>
      </c>
      <c r="B81" s="6" t="s">
        <v>34</v>
      </c>
      <c r="C81" s="7" t="s">
        <v>35</v>
      </c>
      <c r="D81" s="10">
        <v>44423</v>
      </c>
      <c r="E81" s="8">
        <v>5</v>
      </c>
      <c r="F81" s="8">
        <v>0.517478802978105</v>
      </c>
      <c r="G81" s="10">
        <v>44991</v>
      </c>
      <c r="H81" s="8">
        <v>0.194941670945359</v>
      </c>
      <c r="I81" s="4"/>
    </row>
    <row r="82" spans="1:9" ht="14.4">
      <c r="A82" s="5" t="s">
        <v>133</v>
      </c>
      <c r="B82" s="6" t="s">
        <v>34</v>
      </c>
      <c r="C82" s="7" t="s">
        <v>35</v>
      </c>
      <c r="D82" s="10">
        <v>44304</v>
      </c>
      <c r="E82" s="8">
        <v>6</v>
      </c>
      <c r="F82" s="8">
        <v>0.83415711448827101</v>
      </c>
      <c r="G82" s="10">
        <v>45032</v>
      </c>
      <c r="H82" s="8">
        <v>0.73754903864989096</v>
      </c>
      <c r="I82" s="4"/>
    </row>
    <row r="83" spans="1:9" ht="14.4">
      <c r="A83" s="5" t="s">
        <v>168</v>
      </c>
      <c r="B83" s="6" t="s">
        <v>34</v>
      </c>
      <c r="C83" s="7" t="s">
        <v>35</v>
      </c>
      <c r="D83" s="10">
        <v>44371</v>
      </c>
      <c r="E83" s="8">
        <v>9</v>
      </c>
      <c r="F83" s="8">
        <v>0.71248835178386805</v>
      </c>
      <c r="G83" s="10">
        <v>44975</v>
      </c>
      <c r="H83" s="8">
        <v>0.42914106932160101</v>
      </c>
      <c r="I83" s="4"/>
    </row>
    <row r="84" spans="1:9" ht="14.4">
      <c r="A84" s="5" t="s">
        <v>179</v>
      </c>
      <c r="B84" s="6" t="s">
        <v>34</v>
      </c>
      <c r="C84" s="7" t="s">
        <v>35</v>
      </c>
      <c r="D84" s="10">
        <v>44715</v>
      </c>
      <c r="E84" s="8">
        <v>2</v>
      </c>
      <c r="F84" s="8">
        <v>0.75204781971908696</v>
      </c>
      <c r="G84" s="10">
        <v>45016</v>
      </c>
      <c r="H84" s="8">
        <v>0.46296822834011098</v>
      </c>
      <c r="I84" s="4"/>
    </row>
    <row r="85" spans="1:9" ht="14.4">
      <c r="A85" s="5" t="s">
        <v>182</v>
      </c>
      <c r="B85" s="6" t="s">
        <v>34</v>
      </c>
      <c r="C85" s="7" t="s">
        <v>35</v>
      </c>
      <c r="D85" s="10">
        <v>44878</v>
      </c>
      <c r="E85" s="8">
        <v>3</v>
      </c>
      <c r="F85" s="8">
        <v>0.708252824575899</v>
      </c>
      <c r="G85" s="10">
        <v>45047</v>
      </c>
      <c r="H85" s="8">
        <v>0.25743349659995701</v>
      </c>
      <c r="I85" s="4"/>
    </row>
    <row r="86" spans="1:9" ht="14.4">
      <c r="A86" s="5" t="s">
        <v>198</v>
      </c>
      <c r="B86" s="6" t="s">
        <v>34</v>
      </c>
      <c r="C86" s="7" t="s">
        <v>35</v>
      </c>
      <c r="D86" s="10">
        <v>44312</v>
      </c>
      <c r="E86" s="8">
        <v>6</v>
      </c>
      <c r="F86" s="8">
        <v>0.65300297719761102</v>
      </c>
      <c r="G86" s="10">
        <v>45013</v>
      </c>
      <c r="H86" s="8">
        <v>0.67542025364515701</v>
      </c>
      <c r="I86" s="4"/>
    </row>
    <row r="87" spans="1:9" ht="14.4">
      <c r="A87" s="5" t="s">
        <v>201</v>
      </c>
      <c r="B87" s="6" t="s">
        <v>34</v>
      </c>
      <c r="C87" s="7" t="s">
        <v>35</v>
      </c>
      <c r="D87" s="10">
        <v>44579</v>
      </c>
      <c r="E87" s="8">
        <v>9</v>
      </c>
      <c r="F87" s="8">
        <v>0.15192205963339001</v>
      </c>
      <c r="G87" s="10">
        <v>44999</v>
      </c>
      <c r="H87" s="8">
        <v>0.20150857478536399</v>
      </c>
      <c r="I87" s="4"/>
    </row>
    <row r="88" spans="1:9" ht="14.4">
      <c r="A88" s="5" t="s">
        <v>223</v>
      </c>
      <c r="B88" s="6" t="s">
        <v>34</v>
      </c>
      <c r="C88" s="7" t="s">
        <v>35</v>
      </c>
      <c r="D88" s="10">
        <v>44514</v>
      </c>
      <c r="E88" s="8">
        <v>7</v>
      </c>
      <c r="F88" s="8">
        <v>0.38563992038543599</v>
      </c>
      <c r="G88" s="10">
        <v>45004</v>
      </c>
      <c r="H88" s="8">
        <v>0.508902669316179</v>
      </c>
      <c r="I88" s="4"/>
    </row>
    <row r="89" spans="1:9" ht="14.4">
      <c r="A89" s="5" t="s">
        <v>234</v>
      </c>
      <c r="B89" s="6" t="s">
        <v>34</v>
      </c>
      <c r="C89" s="7" t="s">
        <v>35</v>
      </c>
      <c r="D89" s="10">
        <v>44694</v>
      </c>
      <c r="E89" s="8">
        <v>3</v>
      </c>
      <c r="F89" s="8">
        <v>0.27727516856333601</v>
      </c>
      <c r="G89" s="10">
        <v>45036</v>
      </c>
      <c r="H89" s="8">
        <v>0.34199564672456301</v>
      </c>
      <c r="I89" s="4"/>
    </row>
    <row r="90" spans="1:9" ht="14.4">
      <c r="A90" s="5" t="s">
        <v>45</v>
      </c>
      <c r="B90" s="6" t="s">
        <v>46</v>
      </c>
      <c r="C90" s="7" t="s">
        <v>47</v>
      </c>
      <c r="D90" s="10">
        <v>44294</v>
      </c>
      <c r="E90" s="8">
        <v>5</v>
      </c>
      <c r="F90" s="8">
        <v>0.42202075102150899</v>
      </c>
      <c r="G90" s="10">
        <v>45056</v>
      </c>
      <c r="H90" s="8">
        <v>0.38793156543941099</v>
      </c>
      <c r="I90" s="4"/>
    </row>
    <row r="91" spans="1:9" ht="14.4">
      <c r="A91" s="5" t="s">
        <v>89</v>
      </c>
      <c r="B91" s="6" t="s">
        <v>46</v>
      </c>
      <c r="C91" s="7" t="s">
        <v>47</v>
      </c>
      <c r="D91" s="10">
        <v>44725</v>
      </c>
      <c r="E91" s="8">
        <v>7</v>
      </c>
      <c r="F91" s="8">
        <v>0.97988976578176401</v>
      </c>
      <c r="G91" s="10">
        <v>45051</v>
      </c>
      <c r="H91" s="8">
        <v>4.3763329833777703E-2</v>
      </c>
      <c r="I91" s="4"/>
    </row>
    <row r="92" spans="1:9" ht="14.4">
      <c r="A92" s="5" t="s">
        <v>116</v>
      </c>
      <c r="B92" s="6" t="s">
        <v>46</v>
      </c>
      <c r="C92" s="7" t="s">
        <v>47</v>
      </c>
      <c r="D92" s="10">
        <v>44786</v>
      </c>
      <c r="E92" s="8">
        <v>7</v>
      </c>
      <c r="F92" s="8">
        <v>1.31744392227479E-2</v>
      </c>
      <c r="G92" s="10">
        <v>45030</v>
      </c>
      <c r="H92" s="8">
        <v>0.97185682841004495</v>
      </c>
      <c r="I92" s="4"/>
    </row>
    <row r="93" spans="1:9" ht="14.4">
      <c r="A93" s="5" t="s">
        <v>153</v>
      </c>
      <c r="B93" s="6" t="s">
        <v>46</v>
      </c>
      <c r="C93" s="7" t="s">
        <v>47</v>
      </c>
      <c r="D93" s="10">
        <v>44810</v>
      </c>
      <c r="E93" s="8">
        <v>10</v>
      </c>
      <c r="F93" s="8">
        <v>8.0126723415399101E-2</v>
      </c>
      <c r="G93" s="10">
        <v>44973</v>
      </c>
      <c r="H93" s="8">
        <v>0.51635999068168204</v>
      </c>
      <c r="I93" s="4"/>
    </row>
    <row r="94" spans="1:9" ht="14.4">
      <c r="A94" s="5" t="s">
        <v>166</v>
      </c>
      <c r="B94" s="6" t="s">
        <v>46</v>
      </c>
      <c r="C94" s="7" t="s">
        <v>47</v>
      </c>
      <c r="D94" s="10">
        <v>44733</v>
      </c>
      <c r="E94" s="8">
        <v>9</v>
      </c>
      <c r="F94" s="8">
        <v>0.32825674154548301</v>
      </c>
      <c r="G94" s="10">
        <v>44981</v>
      </c>
      <c r="H94" s="8">
        <v>0.48045519677837101</v>
      </c>
      <c r="I94" s="4"/>
    </row>
    <row r="95" spans="1:9" ht="14.4">
      <c r="A95" s="5" t="s">
        <v>173</v>
      </c>
      <c r="B95" s="6" t="s">
        <v>46</v>
      </c>
      <c r="C95" s="7" t="s">
        <v>47</v>
      </c>
      <c r="D95" s="10">
        <v>44661</v>
      </c>
      <c r="E95" s="8">
        <v>5</v>
      </c>
      <c r="F95" s="8">
        <v>0.90898321519765801</v>
      </c>
      <c r="G95" s="10">
        <v>45067</v>
      </c>
      <c r="H95" s="8">
        <v>0.71076510162728801</v>
      </c>
      <c r="I95" s="4"/>
    </row>
    <row r="96" spans="1:9" ht="14.4">
      <c r="A96" s="5" t="s">
        <v>236</v>
      </c>
      <c r="B96" s="6" t="s">
        <v>46</v>
      </c>
      <c r="C96" s="7" t="s">
        <v>47</v>
      </c>
      <c r="D96" s="10">
        <v>44606</v>
      </c>
      <c r="E96" s="8">
        <v>6</v>
      </c>
      <c r="F96" s="8">
        <v>0.64447099494037297</v>
      </c>
      <c r="G96" s="10">
        <v>44975</v>
      </c>
      <c r="H96" s="8">
        <v>0.96567027076396705</v>
      </c>
      <c r="I96" s="4"/>
    </row>
    <row r="97" spans="1:9" ht="14.4">
      <c r="A97" s="5" t="s">
        <v>242</v>
      </c>
      <c r="B97" s="6" t="s">
        <v>46</v>
      </c>
      <c r="C97" s="7" t="s">
        <v>47</v>
      </c>
      <c r="D97" s="10">
        <v>44412</v>
      </c>
      <c r="E97" s="8">
        <v>5</v>
      </c>
      <c r="F97" s="8">
        <v>0.24147425161639699</v>
      </c>
      <c r="G97" s="10">
        <v>45005</v>
      </c>
      <c r="H97" s="8">
        <v>0.23302367858983999</v>
      </c>
      <c r="I97" s="4"/>
    </row>
    <row r="98" spans="1:9" ht="14.4">
      <c r="A98" s="5" t="s">
        <v>8</v>
      </c>
      <c r="B98" s="6" t="s">
        <v>9</v>
      </c>
      <c r="C98" s="7" t="s">
        <v>10</v>
      </c>
      <c r="D98" s="10">
        <v>44841</v>
      </c>
      <c r="E98" s="8">
        <v>7</v>
      </c>
      <c r="F98" s="8">
        <v>0.28318547112501802</v>
      </c>
      <c r="G98" s="10">
        <v>45092</v>
      </c>
      <c r="H98" s="8">
        <v>0.557129814707503</v>
      </c>
      <c r="I98" s="4"/>
    </row>
    <row r="99" spans="1:9" ht="14.4">
      <c r="A99" s="5" t="s">
        <v>14</v>
      </c>
      <c r="B99" s="6" t="s">
        <v>15</v>
      </c>
      <c r="C99" s="7" t="s">
        <v>10</v>
      </c>
      <c r="D99" s="10">
        <v>44519</v>
      </c>
      <c r="E99" s="8">
        <v>6</v>
      </c>
      <c r="F99" s="8">
        <v>0.98092817996517101</v>
      </c>
      <c r="G99" s="10">
        <v>44968</v>
      </c>
      <c r="H99" s="8">
        <v>0.72256312699759195</v>
      </c>
      <c r="I99" s="4"/>
    </row>
    <row r="100" spans="1:9" ht="14.4">
      <c r="A100" s="5" t="s">
        <v>19</v>
      </c>
      <c r="B100" s="6" t="s">
        <v>9</v>
      </c>
      <c r="C100" s="7" t="s">
        <v>10</v>
      </c>
      <c r="D100" s="10">
        <v>44351</v>
      </c>
      <c r="E100" s="8">
        <v>9</v>
      </c>
      <c r="F100" s="8">
        <v>0.55179844990216698</v>
      </c>
      <c r="G100" s="10">
        <v>44977</v>
      </c>
      <c r="H100" s="8">
        <v>0.19789786446941801</v>
      </c>
      <c r="I100" s="4"/>
    </row>
    <row r="101" spans="1:9" ht="14.4">
      <c r="A101" s="5" t="s">
        <v>36</v>
      </c>
      <c r="B101" s="6" t="s">
        <v>9</v>
      </c>
      <c r="C101" s="7" t="s">
        <v>10</v>
      </c>
      <c r="D101" s="10">
        <v>44543</v>
      </c>
      <c r="E101" s="8">
        <v>10</v>
      </c>
      <c r="F101" s="8">
        <v>0.638981266676107</v>
      </c>
      <c r="G101" s="10">
        <v>45031</v>
      </c>
      <c r="H101" s="8">
        <v>0.77496721699985804</v>
      </c>
      <c r="I101" s="4"/>
    </row>
    <row r="102" spans="1:9" ht="14.4">
      <c r="A102" s="5" t="s">
        <v>37</v>
      </c>
      <c r="B102" s="6" t="s">
        <v>9</v>
      </c>
      <c r="C102" s="7" t="s">
        <v>10</v>
      </c>
      <c r="D102" s="10">
        <v>44925</v>
      </c>
      <c r="E102" s="8">
        <v>8</v>
      </c>
      <c r="F102" s="8">
        <v>0.34625418958602699</v>
      </c>
      <c r="G102" s="10">
        <v>45034</v>
      </c>
      <c r="H102" s="8">
        <v>0.71065052633396197</v>
      </c>
      <c r="I102" s="4"/>
    </row>
    <row r="103" spans="1:9" ht="14.4">
      <c r="A103" s="5" t="s">
        <v>51</v>
      </c>
      <c r="B103" s="6" t="s">
        <v>15</v>
      </c>
      <c r="C103" s="7" t="s">
        <v>10</v>
      </c>
      <c r="D103" s="10">
        <v>44205</v>
      </c>
      <c r="E103" s="8">
        <v>1</v>
      </c>
      <c r="F103" s="8">
        <v>0.33608049957319502</v>
      </c>
      <c r="G103" s="10">
        <v>45067</v>
      </c>
      <c r="H103" s="8">
        <v>0.632173644236244</v>
      </c>
      <c r="I103" s="4"/>
    </row>
    <row r="104" spans="1:9" ht="14.4">
      <c r="A104" s="5" t="s">
        <v>56</v>
      </c>
      <c r="B104" s="6" t="s">
        <v>9</v>
      </c>
      <c r="C104" s="7" t="s">
        <v>10</v>
      </c>
      <c r="D104" s="10">
        <v>44303</v>
      </c>
      <c r="E104" s="8">
        <v>9</v>
      </c>
      <c r="F104" s="8">
        <v>0.84008770787604403</v>
      </c>
      <c r="G104" s="10">
        <v>45011</v>
      </c>
      <c r="H104" s="8">
        <v>0.55247139186324401</v>
      </c>
      <c r="I104" s="4"/>
    </row>
    <row r="105" spans="1:9" ht="14.4">
      <c r="A105" s="5" t="s">
        <v>66</v>
      </c>
      <c r="B105" s="6" t="s">
        <v>9</v>
      </c>
      <c r="C105" s="7" t="s">
        <v>10</v>
      </c>
      <c r="D105" s="10">
        <v>44492</v>
      </c>
      <c r="E105" s="8">
        <v>1</v>
      </c>
      <c r="F105" s="8">
        <v>0.27554760755730201</v>
      </c>
      <c r="G105" s="10">
        <v>45049</v>
      </c>
      <c r="H105" s="8">
        <v>0.19858809226913399</v>
      </c>
      <c r="I105" s="4"/>
    </row>
    <row r="106" spans="1:9" ht="14.4">
      <c r="A106" s="5" t="s">
        <v>67</v>
      </c>
      <c r="B106" s="6" t="s">
        <v>9</v>
      </c>
      <c r="C106" s="7" t="s">
        <v>10</v>
      </c>
      <c r="D106" s="10">
        <v>44523</v>
      </c>
      <c r="E106" s="8">
        <v>3</v>
      </c>
      <c r="F106" s="8">
        <v>0.15183590676997499</v>
      </c>
      <c r="G106" s="10">
        <v>45036</v>
      </c>
      <c r="H106" s="8">
        <v>0.96263635120934099</v>
      </c>
      <c r="I106" s="4"/>
    </row>
    <row r="107" spans="1:9" ht="14.4">
      <c r="A107" s="5" t="s">
        <v>86</v>
      </c>
      <c r="B107" s="6" t="s">
        <v>9</v>
      </c>
      <c r="C107" s="7" t="s">
        <v>10</v>
      </c>
      <c r="D107" s="10">
        <v>44795</v>
      </c>
      <c r="E107" s="8">
        <v>1</v>
      </c>
      <c r="F107" s="8">
        <v>0.71704537744139196</v>
      </c>
      <c r="G107" s="10">
        <v>45022</v>
      </c>
      <c r="H107" s="8">
        <v>0.16233553287650401</v>
      </c>
      <c r="I107" s="4"/>
    </row>
    <row r="108" spans="1:9" ht="14.4">
      <c r="A108" s="5" t="s">
        <v>113</v>
      </c>
      <c r="B108" s="6" t="s">
        <v>9</v>
      </c>
      <c r="C108" s="7" t="s">
        <v>10</v>
      </c>
      <c r="D108" s="10">
        <v>44889</v>
      </c>
      <c r="E108" s="8">
        <v>4</v>
      </c>
      <c r="F108" s="8">
        <v>0.64606533640427699</v>
      </c>
      <c r="G108" s="10">
        <v>44977</v>
      </c>
      <c r="H108" s="8">
        <v>0.75502767909149604</v>
      </c>
      <c r="I108" s="4"/>
    </row>
    <row r="109" spans="1:9" ht="14.4">
      <c r="A109" s="5" t="s">
        <v>120</v>
      </c>
      <c r="B109" s="6" t="s">
        <v>15</v>
      </c>
      <c r="C109" s="7" t="s">
        <v>10</v>
      </c>
      <c r="D109" s="10">
        <v>44794</v>
      </c>
      <c r="E109" s="8">
        <v>3</v>
      </c>
      <c r="F109" s="8">
        <v>0.71512622981990404</v>
      </c>
      <c r="G109" s="10">
        <v>45023</v>
      </c>
      <c r="H109" s="8">
        <v>2.82332058926804E-3</v>
      </c>
      <c r="I109" s="4"/>
    </row>
    <row r="110" spans="1:9" ht="14.4">
      <c r="A110" s="5" t="s">
        <v>124</v>
      </c>
      <c r="B110" s="6" t="s">
        <v>9</v>
      </c>
      <c r="C110" s="7" t="s">
        <v>10</v>
      </c>
      <c r="D110" s="10">
        <v>44343</v>
      </c>
      <c r="E110" s="8">
        <v>6</v>
      </c>
      <c r="F110" s="8">
        <v>0.64559425958074801</v>
      </c>
      <c r="G110" s="10">
        <v>45057</v>
      </c>
      <c r="H110" s="8">
        <v>0.74976354481356899</v>
      </c>
      <c r="I110" s="4"/>
    </row>
    <row r="111" spans="1:9" ht="14.4">
      <c r="A111" s="5" t="s">
        <v>134</v>
      </c>
      <c r="B111" s="6" t="s">
        <v>15</v>
      </c>
      <c r="C111" s="7" t="s">
        <v>10</v>
      </c>
      <c r="D111" s="10">
        <v>44285</v>
      </c>
      <c r="E111" s="8">
        <v>7</v>
      </c>
      <c r="F111" s="8">
        <v>0.27349998025771599</v>
      </c>
      <c r="G111" s="10">
        <v>45056</v>
      </c>
      <c r="H111" s="8">
        <v>0.398707058551939</v>
      </c>
      <c r="I111" s="4"/>
    </row>
    <row r="112" spans="1:9" ht="14.4">
      <c r="A112" s="5" t="s">
        <v>136</v>
      </c>
      <c r="B112" s="6" t="s">
        <v>9</v>
      </c>
      <c r="C112" s="7" t="s">
        <v>10</v>
      </c>
      <c r="D112" s="10">
        <v>44206</v>
      </c>
      <c r="E112" s="8">
        <v>2</v>
      </c>
      <c r="F112" s="8">
        <v>0.90504227111458202</v>
      </c>
      <c r="G112" s="10">
        <v>44957</v>
      </c>
      <c r="H112" s="8">
        <v>0.45883084719257899</v>
      </c>
      <c r="I112" s="4"/>
    </row>
    <row r="113" spans="1:9" ht="14.4">
      <c r="A113" s="5" t="s">
        <v>144</v>
      </c>
      <c r="B113" s="6" t="s">
        <v>15</v>
      </c>
      <c r="C113" s="7" t="s">
        <v>10</v>
      </c>
      <c r="D113" s="10">
        <v>44534</v>
      </c>
      <c r="E113" s="8">
        <v>5</v>
      </c>
      <c r="F113" s="8">
        <v>0.18484009932934201</v>
      </c>
      <c r="G113" s="10">
        <v>44952</v>
      </c>
      <c r="H113" s="8">
        <v>0.17511595791935999</v>
      </c>
      <c r="I113" s="4"/>
    </row>
    <row r="114" spans="1:9" ht="14.4">
      <c r="A114" s="5" t="s">
        <v>164</v>
      </c>
      <c r="B114" s="6" t="s">
        <v>9</v>
      </c>
      <c r="C114" s="7" t="s">
        <v>10</v>
      </c>
      <c r="D114" s="10">
        <v>44801</v>
      </c>
      <c r="E114" s="8">
        <v>6</v>
      </c>
      <c r="F114" s="8">
        <v>0.103932010083317</v>
      </c>
      <c r="G114" s="10">
        <v>44985</v>
      </c>
      <c r="H114" s="9">
        <v>6.0761804468123501E-5</v>
      </c>
      <c r="I114" s="4"/>
    </row>
    <row r="115" spans="1:9" ht="14.4">
      <c r="A115" s="5" t="s">
        <v>165</v>
      </c>
      <c r="B115" s="6" t="s">
        <v>15</v>
      </c>
      <c r="C115" s="7" t="s">
        <v>10</v>
      </c>
      <c r="D115" s="10">
        <v>44589</v>
      </c>
      <c r="E115" s="8">
        <v>3</v>
      </c>
      <c r="F115" s="8">
        <v>0.33696098865178298</v>
      </c>
      <c r="G115" s="10">
        <v>45034</v>
      </c>
      <c r="H115" s="8">
        <v>0.68587611661549097</v>
      </c>
      <c r="I115" s="4"/>
    </row>
    <row r="116" spans="1:9" ht="14.4">
      <c r="A116" s="5" t="s">
        <v>175</v>
      </c>
      <c r="B116" s="6" t="s">
        <v>15</v>
      </c>
      <c r="C116" s="7" t="s">
        <v>10</v>
      </c>
      <c r="D116" s="10">
        <v>44223</v>
      </c>
      <c r="E116" s="8">
        <v>10</v>
      </c>
      <c r="F116" s="8">
        <v>4.84656763549157E-2</v>
      </c>
      <c r="G116" s="10">
        <v>45041</v>
      </c>
      <c r="H116" s="8">
        <v>0.76568330987062005</v>
      </c>
      <c r="I116" s="4"/>
    </row>
    <row r="117" spans="1:9" ht="14.4">
      <c r="A117" s="5" t="s">
        <v>203</v>
      </c>
      <c r="B117" s="6" t="s">
        <v>9</v>
      </c>
      <c r="C117" s="7" t="s">
        <v>10</v>
      </c>
      <c r="D117" s="10">
        <v>44580</v>
      </c>
      <c r="E117" s="8">
        <v>2</v>
      </c>
      <c r="F117" s="8">
        <v>0.47294292208057698</v>
      </c>
      <c r="G117" s="10">
        <v>45023</v>
      </c>
      <c r="H117" s="8">
        <v>0.79212265204075905</v>
      </c>
      <c r="I117" s="4"/>
    </row>
    <row r="118" spans="1:9" ht="14.4">
      <c r="A118" s="5" t="s">
        <v>204</v>
      </c>
      <c r="B118" s="6" t="s">
        <v>9</v>
      </c>
      <c r="C118" s="7" t="s">
        <v>10</v>
      </c>
      <c r="D118" s="10">
        <v>44605</v>
      </c>
      <c r="E118" s="8">
        <v>2</v>
      </c>
      <c r="F118" s="8">
        <v>0.95827680251471803</v>
      </c>
      <c r="G118" s="10">
        <v>45009</v>
      </c>
      <c r="H118" s="8">
        <v>0.89660265479322399</v>
      </c>
      <c r="I118" s="4"/>
    </row>
    <row r="119" spans="1:9" ht="14.4">
      <c r="A119" s="5" t="s">
        <v>210</v>
      </c>
      <c r="B119" s="6" t="s">
        <v>9</v>
      </c>
      <c r="C119" s="7" t="s">
        <v>10</v>
      </c>
      <c r="D119" s="10">
        <v>44711</v>
      </c>
      <c r="E119" s="8">
        <v>3</v>
      </c>
      <c r="F119" s="8">
        <v>5.2479096578398297E-2</v>
      </c>
      <c r="G119" s="10">
        <v>45069</v>
      </c>
      <c r="H119" s="8">
        <v>5.8390055671951401E-2</v>
      </c>
      <c r="I119" s="4"/>
    </row>
    <row r="120" spans="1:9" ht="14.4">
      <c r="A120" s="5" t="s">
        <v>231</v>
      </c>
      <c r="B120" s="6" t="s">
        <v>15</v>
      </c>
      <c r="C120" s="7" t="s">
        <v>10</v>
      </c>
      <c r="D120" s="10">
        <v>44883</v>
      </c>
      <c r="E120" s="8">
        <v>1</v>
      </c>
      <c r="F120" s="8">
        <v>0.30777843623572698</v>
      </c>
      <c r="G120" s="10">
        <v>44963</v>
      </c>
      <c r="H120" s="8">
        <v>0.172453184843159</v>
      </c>
      <c r="I120" s="4"/>
    </row>
    <row r="121" spans="1:9" ht="14.4">
      <c r="A121" s="5" t="s">
        <v>235</v>
      </c>
      <c r="B121" s="6" t="s">
        <v>9</v>
      </c>
      <c r="C121" s="7" t="s">
        <v>10</v>
      </c>
      <c r="D121" s="10">
        <v>44199</v>
      </c>
      <c r="E121" s="8">
        <v>2</v>
      </c>
      <c r="F121" s="8">
        <v>0.22356266053190499</v>
      </c>
      <c r="G121" s="10">
        <v>44951</v>
      </c>
      <c r="H121" s="8">
        <v>0.43217504342818902</v>
      </c>
      <c r="I121" s="4"/>
    </row>
    <row r="122" spans="1:9" ht="14.4">
      <c r="A122" s="5" t="s">
        <v>11</v>
      </c>
      <c r="B122" s="6" t="s">
        <v>12</v>
      </c>
      <c r="C122" s="7" t="s">
        <v>13</v>
      </c>
      <c r="D122" s="10">
        <v>44200</v>
      </c>
      <c r="E122" s="8">
        <v>2</v>
      </c>
      <c r="F122" s="8">
        <v>0.64142747007026002</v>
      </c>
      <c r="G122" s="10">
        <v>45039</v>
      </c>
      <c r="H122" s="8">
        <v>0.88983597888511301</v>
      </c>
      <c r="I122" s="4"/>
    </row>
    <row r="123" spans="1:9" ht="14.4">
      <c r="A123" s="5" t="s">
        <v>82</v>
      </c>
      <c r="B123" s="6" t="s">
        <v>12</v>
      </c>
      <c r="C123" s="7" t="s">
        <v>13</v>
      </c>
      <c r="D123" s="10">
        <v>44898</v>
      </c>
      <c r="E123" s="8">
        <v>4</v>
      </c>
      <c r="F123" s="8">
        <v>0.70777097045034598</v>
      </c>
      <c r="G123" s="10">
        <v>44969</v>
      </c>
      <c r="H123" s="8">
        <v>0.29010240599643</v>
      </c>
      <c r="I123" s="4"/>
    </row>
    <row r="124" spans="1:9" ht="14.4">
      <c r="A124" s="5" t="s">
        <v>84</v>
      </c>
      <c r="B124" s="6" t="s">
        <v>12</v>
      </c>
      <c r="C124" s="7" t="s">
        <v>13</v>
      </c>
      <c r="D124" s="10">
        <v>44921</v>
      </c>
      <c r="E124" s="8">
        <v>10</v>
      </c>
      <c r="F124" s="8">
        <v>0.20148931810460499</v>
      </c>
      <c r="G124" s="10">
        <v>45027</v>
      </c>
      <c r="H124" s="8">
        <v>0.37346939187061601</v>
      </c>
      <c r="I124" s="4"/>
    </row>
    <row r="125" spans="1:9" ht="14.4">
      <c r="A125" s="5" t="s">
        <v>106</v>
      </c>
      <c r="B125" s="6" t="s">
        <v>12</v>
      </c>
      <c r="C125" s="7" t="s">
        <v>13</v>
      </c>
      <c r="D125" s="10">
        <v>44860</v>
      </c>
      <c r="E125" s="8">
        <v>8</v>
      </c>
      <c r="F125" s="8">
        <v>0.585256316656942</v>
      </c>
      <c r="G125" s="10">
        <v>45041</v>
      </c>
      <c r="H125" s="8">
        <v>0.63534355964006295</v>
      </c>
      <c r="I125" s="4"/>
    </row>
    <row r="126" spans="1:9" ht="14.4">
      <c r="A126" s="5" t="s">
        <v>158</v>
      </c>
      <c r="B126" s="6" t="s">
        <v>12</v>
      </c>
      <c r="C126" s="7" t="s">
        <v>13</v>
      </c>
      <c r="D126" s="10">
        <v>44578</v>
      </c>
      <c r="E126" s="8">
        <v>2</v>
      </c>
      <c r="F126" s="8">
        <v>0.19124266932346201</v>
      </c>
      <c r="G126" s="10">
        <v>44953</v>
      </c>
      <c r="H126" s="8">
        <v>0.44988838372928502</v>
      </c>
      <c r="I126" s="4"/>
    </row>
    <row r="127" spans="1:9" ht="14.4">
      <c r="A127" s="5" t="s">
        <v>170</v>
      </c>
      <c r="B127" s="6" t="s">
        <v>12</v>
      </c>
      <c r="C127" s="7" t="s">
        <v>13</v>
      </c>
      <c r="D127" s="10">
        <v>44272</v>
      </c>
      <c r="E127" s="8">
        <v>6</v>
      </c>
      <c r="F127" s="8">
        <v>5.4464754581670202E-2</v>
      </c>
      <c r="G127" s="10">
        <v>45013</v>
      </c>
      <c r="H127" s="8">
        <v>0.49434155447053002</v>
      </c>
      <c r="I127" s="4"/>
    </row>
    <row r="128" spans="1:9" ht="14.4">
      <c r="A128" s="5" t="s">
        <v>195</v>
      </c>
      <c r="B128" s="6" t="s">
        <v>12</v>
      </c>
      <c r="C128" s="7" t="s">
        <v>13</v>
      </c>
      <c r="D128" s="10">
        <v>44766</v>
      </c>
      <c r="E128" s="8">
        <v>3</v>
      </c>
      <c r="F128" s="8">
        <v>0.273622029983696</v>
      </c>
      <c r="G128" s="10">
        <v>45026</v>
      </c>
      <c r="H128" s="8">
        <v>0.28004873586635498</v>
      </c>
      <c r="I128" s="4"/>
    </row>
    <row r="129" spans="1:9" ht="14.4">
      <c r="A129" s="5" t="s">
        <v>225</v>
      </c>
      <c r="B129" s="6" t="s">
        <v>12</v>
      </c>
      <c r="C129" s="7" t="s">
        <v>13</v>
      </c>
      <c r="D129" s="10">
        <v>44289</v>
      </c>
      <c r="E129" s="8">
        <v>5</v>
      </c>
      <c r="F129" s="8">
        <v>0.28334897654743202</v>
      </c>
      <c r="G129" s="10">
        <v>44965</v>
      </c>
      <c r="H129" s="8">
        <v>0.63454053513977304</v>
      </c>
      <c r="I129" s="4"/>
    </row>
    <row r="130" spans="1:9" ht="14.4">
      <c r="A130" s="5" t="s">
        <v>42</v>
      </c>
      <c r="B130" s="6" t="s">
        <v>43</v>
      </c>
      <c r="C130" s="7" t="s">
        <v>44</v>
      </c>
      <c r="D130" s="10">
        <v>44922</v>
      </c>
      <c r="E130" s="8">
        <v>8</v>
      </c>
      <c r="F130" s="8">
        <v>0.72895214290311094</v>
      </c>
      <c r="G130" s="10">
        <v>45000</v>
      </c>
      <c r="H130" s="8">
        <v>0.22418004410534101</v>
      </c>
      <c r="I130" s="4"/>
    </row>
    <row r="131" spans="1:9" ht="14.4">
      <c r="A131" s="5" t="s">
        <v>52</v>
      </c>
      <c r="B131" s="6" t="s">
        <v>43</v>
      </c>
      <c r="C131" s="7" t="s">
        <v>44</v>
      </c>
      <c r="D131" s="10">
        <v>44385</v>
      </c>
      <c r="E131" s="8">
        <v>1</v>
      </c>
      <c r="F131" s="8">
        <v>0.66879924137456503</v>
      </c>
      <c r="G131" s="10">
        <v>45019</v>
      </c>
      <c r="H131" s="8">
        <v>0.97050369055421803</v>
      </c>
      <c r="I131" s="4"/>
    </row>
    <row r="132" spans="1:9" ht="14.4">
      <c r="A132" s="5" t="s">
        <v>85</v>
      </c>
      <c r="B132" s="6" t="s">
        <v>43</v>
      </c>
      <c r="C132" s="7" t="s">
        <v>44</v>
      </c>
      <c r="D132" s="10">
        <v>44708</v>
      </c>
      <c r="E132" s="8">
        <v>6</v>
      </c>
      <c r="F132" s="8">
        <v>3.5993791246495099E-2</v>
      </c>
      <c r="G132" s="10">
        <v>44985</v>
      </c>
      <c r="H132" s="8">
        <v>0.97861539568179701</v>
      </c>
      <c r="I132" s="4"/>
    </row>
    <row r="133" spans="1:9" ht="14.4">
      <c r="A133" s="5" t="s">
        <v>99</v>
      </c>
      <c r="B133" s="6" t="s">
        <v>43</v>
      </c>
      <c r="C133" s="7" t="s">
        <v>44</v>
      </c>
      <c r="D133" s="10">
        <v>44667</v>
      </c>
      <c r="E133" s="8">
        <v>2</v>
      </c>
      <c r="F133" s="8">
        <v>1.4798370860461801E-2</v>
      </c>
      <c r="G133" s="10">
        <v>45011</v>
      </c>
      <c r="H133" s="8">
        <v>0.65581817056759795</v>
      </c>
      <c r="I133" s="4"/>
    </row>
    <row r="134" spans="1:9" ht="14.4">
      <c r="A134" s="5" t="s">
        <v>126</v>
      </c>
      <c r="B134" s="6" t="s">
        <v>43</v>
      </c>
      <c r="C134" s="7" t="s">
        <v>44</v>
      </c>
      <c r="D134" s="10">
        <v>44353</v>
      </c>
      <c r="E134" s="8">
        <v>8</v>
      </c>
      <c r="F134" s="8">
        <v>0.74864767306151003</v>
      </c>
      <c r="G134" s="10">
        <v>45075</v>
      </c>
      <c r="H134" s="8">
        <v>0.91487830622236999</v>
      </c>
      <c r="I134" s="4"/>
    </row>
    <row r="135" spans="1:9" ht="14.4">
      <c r="A135" s="5" t="s">
        <v>159</v>
      </c>
      <c r="B135" s="6" t="s">
        <v>43</v>
      </c>
      <c r="C135" s="7" t="s">
        <v>44</v>
      </c>
      <c r="D135" s="10">
        <v>44324</v>
      </c>
      <c r="E135" s="8">
        <v>9</v>
      </c>
      <c r="F135" s="8">
        <v>0.70237024955138705</v>
      </c>
      <c r="G135" s="10">
        <v>45039</v>
      </c>
      <c r="H135" s="8">
        <v>0.23474526869976101</v>
      </c>
      <c r="I135" s="4"/>
    </row>
    <row r="136" spans="1:9" ht="14.4">
      <c r="A136" s="5" t="s">
        <v>220</v>
      </c>
      <c r="B136" s="6" t="s">
        <v>43</v>
      </c>
      <c r="C136" s="7" t="s">
        <v>44</v>
      </c>
      <c r="D136" s="10">
        <v>44229</v>
      </c>
      <c r="E136" s="8">
        <v>3</v>
      </c>
      <c r="F136" s="8">
        <v>0.84716039463076198</v>
      </c>
      <c r="G136" s="10">
        <v>45067</v>
      </c>
      <c r="H136" s="8">
        <v>1.3086187744415801E-2</v>
      </c>
      <c r="I136" s="4"/>
    </row>
    <row r="137" spans="1:9" ht="14.4">
      <c r="A137" s="5" t="s">
        <v>233</v>
      </c>
      <c r="B137" s="6" t="s">
        <v>43</v>
      </c>
      <c r="C137" s="7" t="s">
        <v>44</v>
      </c>
      <c r="D137" s="10">
        <v>44403</v>
      </c>
      <c r="E137" s="8">
        <v>6</v>
      </c>
      <c r="F137" s="8">
        <v>0.83300140406454304</v>
      </c>
      <c r="G137" s="10">
        <v>45026</v>
      </c>
      <c r="H137" s="8">
        <v>0.70242147925557197</v>
      </c>
      <c r="I137" s="4"/>
    </row>
    <row r="138" spans="1:9" ht="14.4">
      <c r="A138" s="5" t="s">
        <v>38</v>
      </c>
      <c r="B138" s="6" t="s">
        <v>39</v>
      </c>
      <c r="C138" s="7" t="s">
        <v>40</v>
      </c>
      <c r="D138" s="10">
        <v>44355</v>
      </c>
      <c r="E138" s="8">
        <v>6</v>
      </c>
      <c r="F138" s="8">
        <v>0.36584758654187899</v>
      </c>
      <c r="G138" s="10">
        <v>45023</v>
      </c>
      <c r="H138" s="8">
        <v>0.45311698845143</v>
      </c>
      <c r="I138" s="4"/>
    </row>
    <row r="139" spans="1:9" ht="14.4">
      <c r="A139" s="5" t="s">
        <v>105</v>
      </c>
      <c r="B139" s="6" t="s">
        <v>39</v>
      </c>
      <c r="C139" s="7" t="s">
        <v>40</v>
      </c>
      <c r="D139" s="10">
        <v>44315</v>
      </c>
      <c r="E139" s="8">
        <v>7</v>
      </c>
      <c r="F139" s="8">
        <v>0.73835370024837998</v>
      </c>
      <c r="G139" s="10">
        <v>45020</v>
      </c>
      <c r="H139" s="8">
        <v>0.10264222958663</v>
      </c>
      <c r="I139" s="4"/>
    </row>
    <row r="140" spans="1:9" ht="14.4">
      <c r="A140" s="5" t="s">
        <v>148</v>
      </c>
      <c r="B140" s="6" t="s">
        <v>39</v>
      </c>
      <c r="C140" s="7" t="s">
        <v>40</v>
      </c>
      <c r="D140" s="10">
        <v>44605</v>
      </c>
      <c r="E140" s="8">
        <v>5</v>
      </c>
      <c r="F140" s="8">
        <v>0.17493546348643599</v>
      </c>
      <c r="G140" s="10">
        <v>45001</v>
      </c>
      <c r="H140" s="8">
        <v>0.83666855090333903</v>
      </c>
      <c r="I140" s="4"/>
    </row>
    <row r="141" spans="1:9" ht="14.4">
      <c r="A141" s="5" t="s">
        <v>150</v>
      </c>
      <c r="B141" s="6" t="s">
        <v>39</v>
      </c>
      <c r="C141" s="7" t="s">
        <v>40</v>
      </c>
      <c r="D141" s="10">
        <v>44263</v>
      </c>
      <c r="E141" s="8">
        <v>1</v>
      </c>
      <c r="F141" s="8">
        <v>0.30953917056170199</v>
      </c>
      <c r="G141" s="10">
        <v>45058</v>
      </c>
      <c r="H141" s="8">
        <v>0.66043948995340296</v>
      </c>
      <c r="I141" s="4"/>
    </row>
    <row r="142" spans="1:9" ht="14.4">
      <c r="A142" s="5" t="s">
        <v>205</v>
      </c>
      <c r="B142" s="6" t="s">
        <v>39</v>
      </c>
      <c r="C142" s="7" t="s">
        <v>40</v>
      </c>
      <c r="D142" s="10">
        <v>44604</v>
      </c>
      <c r="E142" s="8">
        <v>2</v>
      </c>
      <c r="F142" s="8">
        <v>0.27963347908695002</v>
      </c>
      <c r="G142" s="10">
        <v>44949</v>
      </c>
      <c r="H142" s="8">
        <v>0.24854191017697499</v>
      </c>
      <c r="I142" s="4"/>
    </row>
    <row r="143" spans="1:9" ht="14.4">
      <c r="A143" s="5" t="s">
        <v>227</v>
      </c>
      <c r="B143" s="6" t="s">
        <v>39</v>
      </c>
      <c r="C143" s="7" t="s">
        <v>40</v>
      </c>
      <c r="D143" s="10">
        <v>44790</v>
      </c>
      <c r="E143" s="8">
        <v>5</v>
      </c>
      <c r="F143" s="8">
        <v>0.76783916519082696</v>
      </c>
      <c r="G143" s="10">
        <v>45021</v>
      </c>
      <c r="H143" s="8">
        <v>0.24099871039557799</v>
      </c>
      <c r="I143" s="4"/>
    </row>
    <row r="144" spans="1:9" ht="14.4">
      <c r="A144" s="5" t="s">
        <v>228</v>
      </c>
      <c r="B144" s="6" t="s">
        <v>39</v>
      </c>
      <c r="C144" s="7" t="s">
        <v>40</v>
      </c>
      <c r="D144" s="10">
        <v>44766</v>
      </c>
      <c r="E144" s="8">
        <v>2</v>
      </c>
      <c r="F144" s="8">
        <v>0.14806713315151801</v>
      </c>
      <c r="G144" s="10">
        <v>45051</v>
      </c>
      <c r="H144" s="8">
        <v>0.312315972509696</v>
      </c>
      <c r="I144" s="4"/>
    </row>
    <row r="145" spans="1:9" ht="14.4">
      <c r="A145" s="5" t="s">
        <v>229</v>
      </c>
      <c r="B145" s="6" t="s">
        <v>39</v>
      </c>
      <c r="C145" s="7" t="s">
        <v>40</v>
      </c>
      <c r="D145" s="10">
        <v>44577</v>
      </c>
      <c r="E145" s="8">
        <v>7</v>
      </c>
      <c r="F145" s="8">
        <v>7.8885651390256904E-3</v>
      </c>
      <c r="G145" s="10">
        <v>45037</v>
      </c>
      <c r="H145" s="8">
        <v>0.42001946730883299</v>
      </c>
      <c r="I145" s="4"/>
    </row>
    <row r="146" spans="1:9" ht="14.4">
      <c r="A146" s="5" t="s">
        <v>26</v>
      </c>
      <c r="B146" s="6" t="s">
        <v>27</v>
      </c>
      <c r="C146" s="7" t="s">
        <v>28</v>
      </c>
      <c r="D146" s="10">
        <v>44584</v>
      </c>
      <c r="E146" s="8">
        <v>4</v>
      </c>
      <c r="F146" s="8">
        <v>0.13652069785058399</v>
      </c>
      <c r="G146" s="10">
        <v>44991</v>
      </c>
      <c r="H146" s="8">
        <v>0.38969057106772598</v>
      </c>
      <c r="I146" s="4"/>
    </row>
    <row r="147" spans="1:9" ht="14.4">
      <c r="A147" s="5" t="s">
        <v>41</v>
      </c>
      <c r="B147" s="6" t="s">
        <v>27</v>
      </c>
      <c r="C147" s="7" t="s">
        <v>28</v>
      </c>
      <c r="D147" s="10">
        <v>44710</v>
      </c>
      <c r="E147" s="8">
        <v>6</v>
      </c>
      <c r="F147" s="8">
        <v>0.379060395757914</v>
      </c>
      <c r="G147" s="10">
        <v>44977</v>
      </c>
      <c r="H147" s="8">
        <v>0.31616207722275602</v>
      </c>
      <c r="I147" s="4"/>
    </row>
    <row r="148" spans="1:9" ht="14.4">
      <c r="A148" s="5" t="s">
        <v>98</v>
      </c>
      <c r="B148" s="6" t="s">
        <v>27</v>
      </c>
      <c r="C148" s="7" t="s">
        <v>28</v>
      </c>
      <c r="D148" s="10">
        <v>44278</v>
      </c>
      <c r="E148" s="8">
        <v>4</v>
      </c>
      <c r="F148" s="8">
        <v>0.27577765609607802</v>
      </c>
      <c r="G148" s="10">
        <v>45071</v>
      </c>
      <c r="H148" s="8">
        <v>0.84349820990746505</v>
      </c>
      <c r="I148" s="4"/>
    </row>
    <row r="149" spans="1:9" ht="14.4">
      <c r="A149" s="5" t="s">
        <v>109</v>
      </c>
      <c r="B149" s="6" t="s">
        <v>27</v>
      </c>
      <c r="C149" s="7" t="s">
        <v>28</v>
      </c>
      <c r="D149" s="10">
        <v>44347</v>
      </c>
      <c r="E149" s="8">
        <v>1</v>
      </c>
      <c r="F149" s="8">
        <v>0.48588703608226103</v>
      </c>
      <c r="G149" s="10">
        <v>45035</v>
      </c>
      <c r="H149" s="8">
        <v>0.45518918214522902</v>
      </c>
      <c r="I149" s="4"/>
    </row>
    <row r="150" spans="1:9" ht="14.4">
      <c r="A150" s="5" t="s">
        <v>169</v>
      </c>
      <c r="B150" s="6" t="s">
        <v>27</v>
      </c>
      <c r="C150" s="7" t="s">
        <v>28</v>
      </c>
      <c r="D150" s="10">
        <v>44792</v>
      </c>
      <c r="E150" s="8">
        <v>1</v>
      </c>
      <c r="F150" s="8">
        <v>0.87147093954098998</v>
      </c>
      <c r="G150" s="10">
        <v>44967</v>
      </c>
      <c r="H150" s="8">
        <v>0.35443622359295701</v>
      </c>
      <c r="I150" s="4"/>
    </row>
    <row r="151" spans="1:9" ht="14.4">
      <c r="A151" s="5" t="s">
        <v>191</v>
      </c>
      <c r="B151" s="6" t="s">
        <v>27</v>
      </c>
      <c r="C151" s="7" t="s">
        <v>28</v>
      </c>
      <c r="D151" s="10">
        <v>44734</v>
      </c>
      <c r="E151" s="8">
        <v>10</v>
      </c>
      <c r="F151" s="8">
        <v>5.8312359538940997E-2</v>
      </c>
      <c r="G151" s="10">
        <v>45041</v>
      </c>
      <c r="H151" s="8">
        <v>0.50418526458823998</v>
      </c>
      <c r="I151" s="4"/>
    </row>
    <row r="152" spans="1:9" ht="14.4">
      <c r="A152" s="5" t="s">
        <v>232</v>
      </c>
      <c r="B152" s="6" t="s">
        <v>27</v>
      </c>
      <c r="C152" s="7" t="s">
        <v>28</v>
      </c>
      <c r="D152" s="10">
        <v>44214</v>
      </c>
      <c r="E152" s="8">
        <v>5</v>
      </c>
      <c r="F152" s="8">
        <v>0.1874453216227</v>
      </c>
      <c r="G152" s="10">
        <v>44961</v>
      </c>
      <c r="H152" s="8">
        <v>0.22911064366850301</v>
      </c>
      <c r="I152" s="4"/>
    </row>
    <row r="153" spans="1:9" ht="14.4">
      <c r="A153" s="5" t="s">
        <v>239</v>
      </c>
      <c r="B153" s="6" t="s">
        <v>27</v>
      </c>
      <c r="C153" s="7" t="s">
        <v>28</v>
      </c>
      <c r="D153" s="10">
        <v>44457</v>
      </c>
      <c r="E153" s="8">
        <v>3</v>
      </c>
      <c r="F153" s="8">
        <v>0.48376018648020602</v>
      </c>
      <c r="G153" s="10">
        <v>44983</v>
      </c>
      <c r="H153" s="8">
        <v>0.28976743361438201</v>
      </c>
      <c r="I153" s="4"/>
    </row>
    <row r="154" spans="1:9" ht="14.4">
      <c r="A154" s="5" t="s">
        <v>23</v>
      </c>
      <c r="B154" s="6" t="s">
        <v>24</v>
      </c>
      <c r="C154" s="7" t="s">
        <v>25</v>
      </c>
      <c r="D154" s="10">
        <v>44500</v>
      </c>
      <c r="E154" s="8">
        <v>3</v>
      </c>
      <c r="F154" s="8">
        <v>0.100945559071712</v>
      </c>
      <c r="G154" s="10">
        <v>44930</v>
      </c>
      <c r="H154" s="8">
        <v>0.407405377776074</v>
      </c>
      <c r="I154" s="4"/>
    </row>
    <row r="155" spans="1:9" ht="14.4">
      <c r="A155" s="5" t="s">
        <v>65</v>
      </c>
      <c r="B155" s="6" t="s">
        <v>24</v>
      </c>
      <c r="C155" s="7" t="s">
        <v>25</v>
      </c>
      <c r="D155" s="10">
        <v>44599</v>
      </c>
      <c r="E155" s="8">
        <v>7</v>
      </c>
      <c r="F155" s="8">
        <v>0.81200798012546904</v>
      </c>
      <c r="G155" s="10">
        <v>45064</v>
      </c>
      <c r="H155" s="8">
        <v>0.26150647842758601</v>
      </c>
      <c r="I155" s="4"/>
    </row>
    <row r="156" spans="1:9" ht="14.4">
      <c r="A156" s="5" t="s">
        <v>91</v>
      </c>
      <c r="B156" s="6" t="s">
        <v>24</v>
      </c>
      <c r="C156" s="7" t="s">
        <v>25</v>
      </c>
      <c r="D156" s="10">
        <v>44502</v>
      </c>
      <c r="E156" s="8">
        <v>3</v>
      </c>
      <c r="F156" s="8">
        <v>6.7860349366877903E-2</v>
      </c>
      <c r="G156" s="10">
        <v>45026</v>
      </c>
      <c r="H156" s="8">
        <v>0.67274821533457596</v>
      </c>
      <c r="I156" s="4"/>
    </row>
    <row r="157" spans="1:9" ht="14.4">
      <c r="A157" s="5" t="s">
        <v>97</v>
      </c>
      <c r="B157" s="6" t="s">
        <v>24</v>
      </c>
      <c r="C157" s="7" t="s">
        <v>25</v>
      </c>
      <c r="D157" s="10">
        <v>44816</v>
      </c>
      <c r="E157" s="8">
        <v>7</v>
      </c>
      <c r="F157" s="8">
        <v>1.4827494446379701E-2</v>
      </c>
      <c r="G157" s="10">
        <v>44978</v>
      </c>
      <c r="H157" s="8">
        <v>0.41833053891377597</v>
      </c>
      <c r="I157" s="4"/>
    </row>
    <row r="158" spans="1:9" ht="14.4">
      <c r="A158" s="5" t="s">
        <v>160</v>
      </c>
      <c r="B158" s="6" t="s">
        <v>24</v>
      </c>
      <c r="C158" s="7" t="s">
        <v>25</v>
      </c>
      <c r="D158" s="10">
        <v>44464</v>
      </c>
      <c r="E158" s="8">
        <v>1</v>
      </c>
      <c r="F158" s="8">
        <v>0.47664293083306503</v>
      </c>
      <c r="G158" s="10">
        <v>44998</v>
      </c>
      <c r="H158" s="8">
        <v>0.23032087534575099</v>
      </c>
      <c r="I158" s="4"/>
    </row>
    <row r="159" spans="1:9" ht="14.4">
      <c r="A159" s="5" t="s">
        <v>193</v>
      </c>
      <c r="B159" s="6" t="s">
        <v>24</v>
      </c>
      <c r="C159" s="7" t="s">
        <v>25</v>
      </c>
      <c r="D159" s="10">
        <v>44534</v>
      </c>
      <c r="E159" s="8">
        <v>1</v>
      </c>
      <c r="F159" s="8">
        <v>0.29181649358212502</v>
      </c>
      <c r="G159" s="10">
        <v>44944</v>
      </c>
      <c r="H159" s="8">
        <v>0.59525600260086198</v>
      </c>
      <c r="I159" s="4"/>
    </row>
    <row r="160" spans="1:9" ht="14.4">
      <c r="A160" s="5" t="s">
        <v>216</v>
      </c>
      <c r="B160" s="6" t="s">
        <v>24</v>
      </c>
      <c r="C160" s="7" t="s">
        <v>25</v>
      </c>
      <c r="D160" s="10">
        <v>44439</v>
      </c>
      <c r="E160" s="8">
        <v>8</v>
      </c>
      <c r="F160" s="8">
        <v>0.59735476523394404</v>
      </c>
      <c r="G160" s="10">
        <v>44982</v>
      </c>
      <c r="H160" s="8">
        <v>0.16822758298431501</v>
      </c>
      <c r="I160" s="4"/>
    </row>
    <row r="161" spans="1:9" ht="14.4">
      <c r="A161" s="5" t="s">
        <v>217</v>
      </c>
      <c r="B161" s="6" t="s">
        <v>24</v>
      </c>
      <c r="C161" s="7" t="s">
        <v>25</v>
      </c>
      <c r="D161" s="10">
        <v>44449</v>
      </c>
      <c r="E161" s="8">
        <v>6</v>
      </c>
      <c r="F161" s="8">
        <v>0.26280269378864801</v>
      </c>
      <c r="G161" s="10">
        <v>45014</v>
      </c>
      <c r="H161" s="8">
        <v>0.14823080489066301</v>
      </c>
      <c r="I161" s="4"/>
    </row>
    <row r="162" spans="1:9" ht="14.4">
      <c r="A162" s="5" t="s">
        <v>16</v>
      </c>
      <c r="B162" s="6" t="s">
        <v>17</v>
      </c>
      <c r="C162" s="7" t="s">
        <v>18</v>
      </c>
      <c r="D162" s="10">
        <v>44664</v>
      </c>
      <c r="E162" s="8">
        <v>1</v>
      </c>
      <c r="F162" s="8">
        <v>0.46027529609517198</v>
      </c>
      <c r="G162" s="10">
        <v>44971</v>
      </c>
      <c r="H162" s="8">
        <v>0.82793169583258497</v>
      </c>
      <c r="I162" s="4"/>
    </row>
    <row r="163" spans="1:9" ht="14.4">
      <c r="A163" s="5" t="s">
        <v>76</v>
      </c>
      <c r="B163" s="6" t="s">
        <v>17</v>
      </c>
      <c r="C163" s="7" t="s">
        <v>18</v>
      </c>
      <c r="D163" s="10">
        <v>44554</v>
      </c>
      <c r="E163" s="8">
        <v>8</v>
      </c>
      <c r="F163" s="8">
        <v>0.68255570090641804</v>
      </c>
      <c r="G163" s="10">
        <v>44988</v>
      </c>
      <c r="H163" s="8">
        <v>0.60454082217188998</v>
      </c>
      <c r="I163" s="4"/>
    </row>
    <row r="164" spans="1:9" ht="14.4">
      <c r="A164" s="5" t="s">
        <v>94</v>
      </c>
      <c r="B164" s="6" t="s">
        <v>17</v>
      </c>
      <c r="C164" s="7" t="s">
        <v>18</v>
      </c>
      <c r="D164" s="10">
        <v>44343</v>
      </c>
      <c r="E164" s="8">
        <v>1</v>
      </c>
      <c r="F164" s="8">
        <v>0.83003541427247696</v>
      </c>
      <c r="G164" s="10">
        <v>44965</v>
      </c>
      <c r="H164" s="8">
        <v>0.52621974753425005</v>
      </c>
      <c r="I164" s="4"/>
    </row>
    <row r="165" spans="1:9" ht="14.4">
      <c r="A165" s="5" t="s">
        <v>95</v>
      </c>
      <c r="B165" s="6" t="s">
        <v>17</v>
      </c>
      <c r="C165" s="7" t="s">
        <v>18</v>
      </c>
      <c r="D165" s="10">
        <v>44382</v>
      </c>
      <c r="E165" s="8">
        <v>9</v>
      </c>
      <c r="F165" s="8">
        <v>0.13503720101241901</v>
      </c>
      <c r="G165" s="10">
        <v>45017</v>
      </c>
      <c r="H165" s="8">
        <v>0.85749627053317901</v>
      </c>
      <c r="I165" s="4"/>
    </row>
    <row r="166" spans="1:9" ht="14.4">
      <c r="A166" s="5" t="s">
        <v>118</v>
      </c>
      <c r="B166" s="6" t="s">
        <v>17</v>
      </c>
      <c r="C166" s="7" t="s">
        <v>18</v>
      </c>
      <c r="D166" s="10">
        <v>44554</v>
      </c>
      <c r="E166" s="8">
        <v>6</v>
      </c>
      <c r="F166" s="8">
        <v>0.15491081045699601</v>
      </c>
      <c r="G166" s="10">
        <v>45064</v>
      </c>
      <c r="H166" s="8">
        <v>0.76802453424894601</v>
      </c>
      <c r="I166" s="4"/>
    </row>
    <row r="167" spans="1:9" ht="14.4">
      <c r="A167" s="5" t="s">
        <v>156</v>
      </c>
      <c r="B167" s="6" t="s">
        <v>17</v>
      </c>
      <c r="C167" s="7" t="s">
        <v>18</v>
      </c>
      <c r="D167" s="10">
        <v>44709</v>
      </c>
      <c r="E167" s="8">
        <v>8</v>
      </c>
      <c r="F167" s="8">
        <v>0.34324624551472199</v>
      </c>
      <c r="G167" s="10">
        <v>44980</v>
      </c>
      <c r="H167" s="8">
        <v>5.5941217861464797E-2</v>
      </c>
      <c r="I167" s="4"/>
    </row>
    <row r="168" spans="1:9" ht="14.4">
      <c r="A168" s="5" t="s">
        <v>167</v>
      </c>
      <c r="B168" s="6" t="s">
        <v>17</v>
      </c>
      <c r="C168" s="7" t="s">
        <v>18</v>
      </c>
      <c r="D168" s="10">
        <v>44879</v>
      </c>
      <c r="E168" s="8">
        <v>10</v>
      </c>
      <c r="F168" s="8">
        <v>0.47307005712237998</v>
      </c>
      <c r="G168" s="10">
        <v>44937</v>
      </c>
      <c r="H168" s="8">
        <v>0.10169187940690801</v>
      </c>
      <c r="I168" s="4"/>
    </row>
    <row r="169" spans="1:9" ht="14.4">
      <c r="A169" s="5" t="s">
        <v>219</v>
      </c>
      <c r="B169" s="6" t="s">
        <v>17</v>
      </c>
      <c r="C169" s="7" t="s">
        <v>18</v>
      </c>
      <c r="D169" s="10">
        <v>44241</v>
      </c>
      <c r="E169" s="8">
        <v>6</v>
      </c>
      <c r="F169" s="8">
        <v>0.98199261995326603</v>
      </c>
      <c r="G169" s="10">
        <v>44994</v>
      </c>
      <c r="H169" s="8">
        <v>0.54481123922804697</v>
      </c>
      <c r="I169" s="4"/>
    </row>
    <row r="170" spans="1:9" ht="14.4">
      <c r="A170" s="5" t="s">
        <v>72</v>
      </c>
      <c r="B170" s="6" t="s">
        <v>73</v>
      </c>
      <c r="C170" s="7" t="s">
        <v>74</v>
      </c>
      <c r="D170" s="10">
        <v>44541</v>
      </c>
      <c r="E170" s="8">
        <v>9</v>
      </c>
      <c r="F170" s="8">
        <v>0.215773738787989</v>
      </c>
      <c r="G170" s="10">
        <v>45040</v>
      </c>
      <c r="H170" s="8">
        <v>0.54884364241615202</v>
      </c>
      <c r="I170" s="4"/>
    </row>
    <row r="171" spans="1:9" ht="14.4">
      <c r="A171" s="5" t="s">
        <v>78</v>
      </c>
      <c r="B171" s="6" t="s">
        <v>73</v>
      </c>
      <c r="C171" s="7" t="s">
        <v>74</v>
      </c>
      <c r="D171" s="10">
        <v>44838</v>
      </c>
      <c r="E171" s="8">
        <v>4</v>
      </c>
      <c r="F171" s="8">
        <v>0.86036052556079601</v>
      </c>
      <c r="G171" s="10">
        <v>44968</v>
      </c>
      <c r="H171" s="8">
        <v>0.75556235613803402</v>
      </c>
      <c r="I171" s="4"/>
    </row>
    <row r="172" spans="1:9" ht="14.4">
      <c r="A172" s="5" t="s">
        <v>123</v>
      </c>
      <c r="B172" s="6" t="s">
        <v>73</v>
      </c>
      <c r="C172" s="7" t="s">
        <v>74</v>
      </c>
      <c r="D172" s="10">
        <v>44852</v>
      </c>
      <c r="E172" s="8">
        <v>5</v>
      </c>
      <c r="F172" s="8">
        <v>0.32415684712172899</v>
      </c>
      <c r="G172" s="10">
        <v>45051</v>
      </c>
      <c r="H172" s="8">
        <v>0.28398523541759901</v>
      </c>
      <c r="I172" s="4"/>
    </row>
    <row r="173" spans="1:9" ht="14.4">
      <c r="A173" s="5" t="s">
        <v>147</v>
      </c>
      <c r="B173" s="6" t="s">
        <v>73</v>
      </c>
      <c r="C173" s="7" t="s">
        <v>74</v>
      </c>
      <c r="D173" s="10">
        <v>44921</v>
      </c>
      <c r="E173" s="8">
        <v>10</v>
      </c>
      <c r="F173" s="8">
        <v>0.68735083469695002</v>
      </c>
      <c r="G173" s="10">
        <v>44990</v>
      </c>
      <c r="H173" s="8">
        <v>0.41787841201432302</v>
      </c>
      <c r="I173" s="4"/>
    </row>
    <row r="174" spans="1:9" ht="14.4">
      <c r="A174" s="5" t="s">
        <v>176</v>
      </c>
      <c r="B174" s="6" t="s">
        <v>73</v>
      </c>
      <c r="C174" s="7" t="s">
        <v>74</v>
      </c>
      <c r="D174" s="10">
        <v>44616</v>
      </c>
      <c r="E174" s="8">
        <v>10</v>
      </c>
      <c r="F174" s="8">
        <v>0.29076178482231801</v>
      </c>
      <c r="G174" s="10">
        <v>44945</v>
      </c>
      <c r="H174" s="8">
        <v>0.33143123502147698</v>
      </c>
      <c r="I174" s="4"/>
    </row>
    <row r="175" spans="1:9" ht="14.4">
      <c r="A175" s="5" t="s">
        <v>184</v>
      </c>
      <c r="B175" s="6" t="s">
        <v>73</v>
      </c>
      <c r="C175" s="7" t="s">
        <v>74</v>
      </c>
      <c r="D175" s="10">
        <v>44815</v>
      </c>
      <c r="E175" s="8">
        <v>3</v>
      </c>
      <c r="F175" s="8">
        <v>0.44727279397540398</v>
      </c>
      <c r="G175" s="10">
        <v>44961</v>
      </c>
      <c r="H175" s="8">
        <v>0.72124646028638995</v>
      </c>
      <c r="I175" s="4"/>
    </row>
    <row r="176" spans="1:9" ht="14.4">
      <c r="A176" s="5" t="s">
        <v>230</v>
      </c>
      <c r="B176" s="6" t="s">
        <v>73</v>
      </c>
      <c r="C176" s="7" t="s">
        <v>74</v>
      </c>
      <c r="D176" s="10">
        <v>44416</v>
      </c>
      <c r="E176" s="8">
        <v>7</v>
      </c>
      <c r="F176" s="8">
        <v>6.5026558074850402E-2</v>
      </c>
      <c r="G176" s="10">
        <v>45005</v>
      </c>
      <c r="H176" s="8">
        <v>0.566596656084567</v>
      </c>
      <c r="I176" s="4"/>
    </row>
    <row r="177" spans="1:9" ht="14.4">
      <c r="A177" s="5" t="s">
        <v>244</v>
      </c>
      <c r="B177" s="6" t="s">
        <v>73</v>
      </c>
      <c r="C177" s="7" t="s">
        <v>74</v>
      </c>
      <c r="D177" s="10">
        <v>44742</v>
      </c>
      <c r="E177" s="8">
        <v>9</v>
      </c>
      <c r="F177" s="8">
        <v>0.30094368268289601</v>
      </c>
      <c r="G177" s="10">
        <v>45037</v>
      </c>
      <c r="H177" s="8">
        <v>0.55983002083455202</v>
      </c>
      <c r="I177" s="4"/>
    </row>
    <row r="178" spans="1:9" ht="14.4">
      <c r="A178" s="5" t="s">
        <v>53</v>
      </c>
      <c r="B178" s="6" t="s">
        <v>54</v>
      </c>
      <c r="C178" s="7" t="s">
        <v>55</v>
      </c>
      <c r="D178" s="10">
        <v>44418</v>
      </c>
      <c r="E178" s="8">
        <v>1</v>
      </c>
      <c r="F178" s="8">
        <v>0.94855371414201095</v>
      </c>
      <c r="G178" s="10">
        <v>44964</v>
      </c>
      <c r="H178" s="8">
        <v>0.335795433783181</v>
      </c>
      <c r="I178" s="4"/>
    </row>
    <row r="179" spans="1:9" ht="14.4">
      <c r="A179" s="5" t="s">
        <v>69</v>
      </c>
      <c r="B179" s="6" t="s">
        <v>54</v>
      </c>
      <c r="C179" s="7" t="s">
        <v>55</v>
      </c>
      <c r="D179" s="10">
        <v>44594</v>
      </c>
      <c r="E179" s="8">
        <v>7</v>
      </c>
      <c r="F179" s="8">
        <v>8.2508842921547004E-2</v>
      </c>
      <c r="G179" s="10">
        <v>44981</v>
      </c>
      <c r="H179" s="8">
        <v>0.90723039307728803</v>
      </c>
      <c r="I179" s="4"/>
    </row>
    <row r="180" spans="1:9" ht="14.4">
      <c r="A180" s="5" t="s">
        <v>92</v>
      </c>
      <c r="B180" s="6" t="s">
        <v>54</v>
      </c>
      <c r="C180" s="7" t="s">
        <v>55</v>
      </c>
      <c r="D180" s="10">
        <v>44560</v>
      </c>
      <c r="E180" s="8">
        <v>9</v>
      </c>
      <c r="F180" s="8">
        <v>0.407593318710052</v>
      </c>
      <c r="G180" s="10">
        <v>44988</v>
      </c>
      <c r="H180" s="8">
        <v>0.63816582309695902</v>
      </c>
      <c r="I180" s="4"/>
    </row>
    <row r="181" spans="1:9" ht="14.4">
      <c r="A181" s="5" t="s">
        <v>96</v>
      </c>
      <c r="B181" s="6" t="s">
        <v>54</v>
      </c>
      <c r="C181" s="7" t="s">
        <v>55</v>
      </c>
      <c r="D181" s="10">
        <v>44680</v>
      </c>
      <c r="E181" s="8">
        <v>2</v>
      </c>
      <c r="F181" s="8">
        <v>0.18457397753690899</v>
      </c>
      <c r="G181" s="10">
        <v>45004</v>
      </c>
      <c r="H181" s="8">
        <v>0.74032989684219797</v>
      </c>
      <c r="I181" s="4"/>
    </row>
    <row r="182" spans="1:9" ht="14.4">
      <c r="A182" s="5" t="s">
        <v>163</v>
      </c>
      <c r="B182" s="6" t="s">
        <v>54</v>
      </c>
      <c r="C182" s="7" t="s">
        <v>55</v>
      </c>
      <c r="D182" s="10">
        <v>44625</v>
      </c>
      <c r="E182" s="8">
        <v>4</v>
      </c>
      <c r="F182" s="8">
        <v>0.93532778717298004</v>
      </c>
      <c r="G182" s="10">
        <v>44933</v>
      </c>
      <c r="H182" s="8">
        <v>2.9378328012187802E-2</v>
      </c>
      <c r="I182" s="4"/>
    </row>
    <row r="183" spans="1:9" ht="14.4">
      <c r="A183" s="5" t="s">
        <v>183</v>
      </c>
      <c r="B183" s="6" t="s">
        <v>54</v>
      </c>
      <c r="C183" s="7" t="s">
        <v>55</v>
      </c>
      <c r="D183" s="10">
        <v>44535</v>
      </c>
      <c r="E183" s="8">
        <v>6</v>
      </c>
      <c r="F183" s="8">
        <v>8.1168066351901699E-2</v>
      </c>
      <c r="G183" s="10">
        <v>45004</v>
      </c>
      <c r="H183" s="8">
        <v>0.51544985308443603</v>
      </c>
      <c r="I183" s="4"/>
    </row>
    <row r="184" spans="1:9" ht="14.4">
      <c r="A184" s="5" t="s">
        <v>192</v>
      </c>
      <c r="B184" s="6" t="s">
        <v>54</v>
      </c>
      <c r="C184" s="7" t="s">
        <v>55</v>
      </c>
      <c r="D184" s="10">
        <v>44480</v>
      </c>
      <c r="E184" s="8">
        <v>7</v>
      </c>
      <c r="F184" s="8">
        <v>0.717702757066082</v>
      </c>
      <c r="G184" s="10">
        <v>44936</v>
      </c>
      <c r="H184" s="8">
        <v>0.1182538345041</v>
      </c>
      <c r="I184" s="4"/>
    </row>
    <row r="185" spans="1:9" ht="14.4">
      <c r="A185" s="5" t="s">
        <v>215</v>
      </c>
      <c r="B185" s="6" t="s">
        <v>54</v>
      </c>
      <c r="C185" s="7" t="s">
        <v>55</v>
      </c>
      <c r="D185" s="10">
        <v>44204</v>
      </c>
      <c r="E185" s="8">
        <v>2</v>
      </c>
      <c r="F185" s="8">
        <v>0.43098053100217298</v>
      </c>
      <c r="G185" s="10">
        <v>44948</v>
      </c>
      <c r="H185" s="8">
        <v>0.43731221847381901</v>
      </c>
      <c r="I185" s="4"/>
    </row>
    <row r="186" spans="1:9" ht="14.4">
      <c r="A186" s="5" t="s">
        <v>60</v>
      </c>
      <c r="B186" s="6" t="s">
        <v>61</v>
      </c>
      <c r="C186" s="7" t="s">
        <v>62</v>
      </c>
      <c r="D186" s="10">
        <v>44786</v>
      </c>
      <c r="E186" s="8">
        <v>3</v>
      </c>
      <c r="F186" s="8">
        <v>0.70520735936114698</v>
      </c>
      <c r="G186" s="10">
        <v>45023</v>
      </c>
      <c r="H186" s="8">
        <v>0.85427426099032899</v>
      </c>
      <c r="I186" s="4"/>
    </row>
    <row r="187" spans="1:9" ht="14.4">
      <c r="A187" s="5" t="s">
        <v>80</v>
      </c>
      <c r="B187" s="6" t="s">
        <v>81</v>
      </c>
      <c r="C187" s="7" t="s">
        <v>62</v>
      </c>
      <c r="D187" s="10">
        <v>44579</v>
      </c>
      <c r="E187" s="8">
        <v>10</v>
      </c>
      <c r="F187" s="8">
        <v>0.93792316902615502</v>
      </c>
      <c r="G187" s="10">
        <v>45061</v>
      </c>
      <c r="H187" s="8">
        <v>0.45551581516099299</v>
      </c>
      <c r="I187" s="4"/>
    </row>
    <row r="188" spans="1:9" ht="14.4">
      <c r="A188" s="5" t="s">
        <v>83</v>
      </c>
      <c r="B188" s="6" t="s">
        <v>81</v>
      </c>
      <c r="C188" s="7" t="s">
        <v>62</v>
      </c>
      <c r="D188" s="10">
        <v>44315</v>
      </c>
      <c r="E188" s="8">
        <v>10</v>
      </c>
      <c r="F188" s="8">
        <v>0.32809052787687998</v>
      </c>
      <c r="G188" s="10">
        <v>45058</v>
      </c>
      <c r="H188" s="8">
        <v>0.53620178529362506</v>
      </c>
      <c r="I188" s="4"/>
    </row>
    <row r="189" spans="1:9" ht="14.4">
      <c r="A189" s="5" t="s">
        <v>93</v>
      </c>
      <c r="B189" s="6" t="s">
        <v>61</v>
      </c>
      <c r="C189" s="7" t="s">
        <v>62</v>
      </c>
      <c r="D189" s="10">
        <v>44361</v>
      </c>
      <c r="E189" s="8">
        <v>4</v>
      </c>
      <c r="F189" s="8">
        <v>0.52920695915069904</v>
      </c>
      <c r="G189" s="10">
        <v>44976</v>
      </c>
      <c r="H189" s="8">
        <v>0.13238552807963799</v>
      </c>
      <c r="I189" s="4"/>
    </row>
    <row r="190" spans="1:9" ht="14.4">
      <c r="A190" s="5" t="s">
        <v>112</v>
      </c>
      <c r="B190" s="6" t="s">
        <v>81</v>
      </c>
      <c r="C190" s="7" t="s">
        <v>62</v>
      </c>
      <c r="D190" s="10">
        <v>44800</v>
      </c>
      <c r="E190" s="8">
        <v>4</v>
      </c>
      <c r="F190" s="8">
        <v>0.89057060464664195</v>
      </c>
      <c r="G190" s="10">
        <v>45004</v>
      </c>
      <c r="H190" s="8">
        <v>0.24766978894018499</v>
      </c>
      <c r="I190" s="4"/>
    </row>
    <row r="191" spans="1:9" ht="14.4">
      <c r="A191" s="5" t="s">
        <v>115</v>
      </c>
      <c r="B191" s="6" t="s">
        <v>61</v>
      </c>
      <c r="C191" s="7" t="s">
        <v>62</v>
      </c>
      <c r="D191" s="10">
        <v>44752</v>
      </c>
      <c r="E191" s="8">
        <v>1</v>
      </c>
      <c r="F191" s="8">
        <v>0.144587962809021</v>
      </c>
      <c r="G191" s="10">
        <v>44974</v>
      </c>
      <c r="H191" s="8">
        <v>0.22337306376263399</v>
      </c>
      <c r="I191" s="4"/>
    </row>
    <row r="192" spans="1:9" ht="14.4">
      <c r="A192" s="5" t="s">
        <v>130</v>
      </c>
      <c r="B192" s="6" t="s">
        <v>61</v>
      </c>
      <c r="C192" s="7" t="s">
        <v>62</v>
      </c>
      <c r="D192" s="10">
        <v>44600</v>
      </c>
      <c r="E192" s="8">
        <v>1</v>
      </c>
      <c r="F192" s="8">
        <v>0.58372843681935904</v>
      </c>
      <c r="G192" s="10">
        <v>44997</v>
      </c>
      <c r="H192" s="8">
        <v>0.38186645762982302</v>
      </c>
      <c r="I192" s="4"/>
    </row>
    <row r="193" spans="1:9" ht="14.4">
      <c r="A193" s="5" t="s">
        <v>138</v>
      </c>
      <c r="B193" s="6" t="s">
        <v>81</v>
      </c>
      <c r="C193" s="7" t="s">
        <v>62</v>
      </c>
      <c r="D193" s="10">
        <v>44366</v>
      </c>
      <c r="E193" s="8">
        <v>2</v>
      </c>
      <c r="F193" s="8">
        <v>0.256532208615462</v>
      </c>
      <c r="G193" s="10">
        <v>44975</v>
      </c>
      <c r="H193" s="8">
        <v>0.25683090454434099</v>
      </c>
      <c r="I193" s="4"/>
    </row>
    <row r="194" spans="1:9" ht="14.4">
      <c r="A194" s="5" t="s">
        <v>151</v>
      </c>
      <c r="B194" s="6" t="s">
        <v>61</v>
      </c>
      <c r="C194" s="7" t="s">
        <v>62</v>
      </c>
      <c r="D194" s="10">
        <v>44422</v>
      </c>
      <c r="E194" s="8">
        <v>10</v>
      </c>
      <c r="F194" s="8">
        <v>0.62147829765565299</v>
      </c>
      <c r="G194" s="10">
        <v>45045</v>
      </c>
      <c r="H194" s="8">
        <v>0.44466276095616802</v>
      </c>
      <c r="I194" s="4"/>
    </row>
    <row r="195" spans="1:9" ht="14.4">
      <c r="A195" s="5" t="s">
        <v>161</v>
      </c>
      <c r="B195" s="6" t="s">
        <v>61</v>
      </c>
      <c r="C195" s="7" t="s">
        <v>62</v>
      </c>
      <c r="D195" s="10">
        <v>44581</v>
      </c>
      <c r="E195" s="8">
        <v>8</v>
      </c>
      <c r="F195" s="8">
        <v>0.52894618812607497</v>
      </c>
      <c r="G195" s="10">
        <v>44998</v>
      </c>
      <c r="H195" s="8">
        <v>0.14894391596640999</v>
      </c>
      <c r="I195" s="4"/>
    </row>
    <row r="196" spans="1:9" ht="14.4">
      <c r="A196" s="5" t="s">
        <v>177</v>
      </c>
      <c r="B196" s="6" t="s">
        <v>81</v>
      </c>
      <c r="C196" s="7" t="s">
        <v>62</v>
      </c>
      <c r="D196" s="10">
        <v>44398</v>
      </c>
      <c r="E196" s="8">
        <v>6</v>
      </c>
      <c r="F196" s="8">
        <v>0.74483031602755301</v>
      </c>
      <c r="G196" s="10">
        <v>45067</v>
      </c>
      <c r="H196" s="8">
        <v>0.45618689536000101</v>
      </c>
      <c r="I196" s="4"/>
    </row>
    <row r="197" spans="1:9" ht="14.4">
      <c r="A197" s="5" t="s">
        <v>180</v>
      </c>
      <c r="B197" s="6" t="s">
        <v>61</v>
      </c>
      <c r="C197" s="7" t="s">
        <v>62</v>
      </c>
      <c r="D197" s="10">
        <v>44225</v>
      </c>
      <c r="E197" s="8">
        <v>7</v>
      </c>
      <c r="F197" s="8">
        <v>0.47691846634392299</v>
      </c>
      <c r="G197" s="10">
        <v>44981</v>
      </c>
      <c r="H197" s="8">
        <v>0.46204966570717498</v>
      </c>
      <c r="I197" s="4"/>
    </row>
    <row r="198" spans="1:9" ht="14.4">
      <c r="A198" s="5" t="s">
        <v>206</v>
      </c>
      <c r="B198" s="6" t="s">
        <v>61</v>
      </c>
      <c r="C198" s="7" t="s">
        <v>62</v>
      </c>
      <c r="D198" s="10">
        <v>44257</v>
      </c>
      <c r="E198" s="8">
        <v>8</v>
      </c>
      <c r="F198" s="8">
        <v>0.434644149591145</v>
      </c>
      <c r="G198" s="10">
        <v>44955</v>
      </c>
      <c r="H198" s="8">
        <v>0.625342854199327</v>
      </c>
      <c r="I198" s="4"/>
    </row>
    <row r="199" spans="1:9" ht="14.4">
      <c r="A199" s="5" t="s">
        <v>213</v>
      </c>
      <c r="B199" s="6" t="s">
        <v>81</v>
      </c>
      <c r="C199" s="7" t="s">
        <v>62</v>
      </c>
      <c r="D199" s="10">
        <v>44897</v>
      </c>
      <c r="E199" s="8">
        <v>3</v>
      </c>
      <c r="F199" s="8">
        <v>0.95057620706778501</v>
      </c>
      <c r="G199" s="10">
        <v>45040</v>
      </c>
      <c r="H199" s="8">
        <v>0.96163422719710601</v>
      </c>
      <c r="I199" s="4"/>
    </row>
    <row r="200" spans="1:9" ht="14.4">
      <c r="A200" s="5" t="s">
        <v>224</v>
      </c>
      <c r="B200" s="6" t="s">
        <v>81</v>
      </c>
      <c r="C200" s="7" t="s">
        <v>62</v>
      </c>
      <c r="D200" s="10">
        <v>44309</v>
      </c>
      <c r="E200" s="8">
        <v>8</v>
      </c>
      <c r="F200" s="8">
        <v>0.85335977277591302</v>
      </c>
      <c r="G200" s="10">
        <v>45021</v>
      </c>
      <c r="H200" s="8">
        <v>0.99207281995433205</v>
      </c>
      <c r="I200" s="4"/>
    </row>
    <row r="201" spans="1:9" ht="14.4">
      <c r="A201" s="5" t="s">
        <v>226</v>
      </c>
      <c r="B201" s="6" t="s">
        <v>81</v>
      </c>
      <c r="C201" s="7" t="s">
        <v>62</v>
      </c>
      <c r="D201" s="10">
        <v>44572</v>
      </c>
      <c r="E201" s="8">
        <v>3</v>
      </c>
      <c r="F201" s="8">
        <v>0.117748642112043</v>
      </c>
      <c r="G201" s="10">
        <v>45073</v>
      </c>
      <c r="H201" s="8">
        <v>0.67092430905617095</v>
      </c>
      <c r="I201" s="4"/>
    </row>
    <row r="202" spans="1:9" ht="13.8">
      <c r="A202" s="2"/>
      <c r="B202" s="3"/>
      <c r="C202" s="4"/>
      <c r="D202" s="11"/>
      <c r="E202" s="4"/>
      <c r="F202" s="4"/>
      <c r="G202" s="11"/>
      <c r="H202" s="4"/>
      <c r="I202" s="4"/>
    </row>
    <row r="203" spans="1:9" ht="14.4">
      <c r="A203" s="2"/>
      <c r="B203" s="3"/>
      <c r="C203" s="4"/>
      <c r="D203" s="12" t="s">
        <v>246</v>
      </c>
      <c r="E203" s="4"/>
      <c r="F203" s="4"/>
      <c r="G203" s="15"/>
      <c r="H203" s="4"/>
      <c r="I203" s="4"/>
    </row>
    <row r="204" spans="1:9" ht="13.8">
      <c r="A204" s="2"/>
      <c r="B204" s="3"/>
      <c r="C204" s="4"/>
      <c r="D204" s="13"/>
      <c r="E204" s="4"/>
      <c r="F204" s="4"/>
      <c r="G204" s="16"/>
      <c r="H204" s="4"/>
      <c r="I204" s="4"/>
    </row>
  </sheetData>
  <sortState xmlns:xlrd2="http://schemas.microsoft.com/office/spreadsheetml/2017/richdata2" ref="A2:H201">
    <sortCondition ref="C1:C201"/>
  </sortState>
  <hyperlinks>
    <hyperlink ref="B98" r:id="rId1" xr:uid="{00000000-0004-0000-0000-000000000000}"/>
    <hyperlink ref="B122" r:id="rId2" xr:uid="{00000000-0004-0000-0000-000001000000}"/>
    <hyperlink ref="B99" r:id="rId3" xr:uid="{00000000-0004-0000-0000-000002000000}"/>
    <hyperlink ref="B162" r:id="rId4" xr:uid="{00000000-0004-0000-0000-000003000000}"/>
    <hyperlink ref="B100" r:id="rId5" xr:uid="{00000000-0004-0000-0000-000004000000}"/>
    <hyperlink ref="B58" r:id="rId6" xr:uid="{00000000-0004-0000-0000-000005000000}"/>
    <hyperlink ref="B154" r:id="rId7" xr:uid="{00000000-0004-0000-0000-000006000000}"/>
    <hyperlink ref="B146" r:id="rId8" xr:uid="{00000000-0004-0000-0000-000007000000}"/>
    <hyperlink ref="B34" r:id="rId9" xr:uid="{00000000-0004-0000-0000-000008000000}"/>
    <hyperlink ref="B59" r:id="rId10" xr:uid="{00000000-0004-0000-0000-000009000000}"/>
    <hyperlink ref="B74" r:id="rId11" xr:uid="{00000000-0004-0000-0000-00000A000000}"/>
    <hyperlink ref="B101" r:id="rId12" xr:uid="{00000000-0004-0000-0000-00000B000000}"/>
    <hyperlink ref="B102" r:id="rId13" xr:uid="{00000000-0004-0000-0000-00000C000000}"/>
    <hyperlink ref="B138" r:id="rId14" xr:uid="{00000000-0004-0000-0000-00000D000000}"/>
    <hyperlink ref="B147" r:id="rId15" xr:uid="{00000000-0004-0000-0000-00000E000000}"/>
    <hyperlink ref="B130" r:id="rId16" xr:uid="{00000000-0004-0000-0000-00000F000000}"/>
    <hyperlink ref="B90" r:id="rId17" xr:uid="{00000000-0004-0000-0000-000010000000}"/>
    <hyperlink ref="B42" r:id="rId18" xr:uid="{00000000-0004-0000-0000-000011000000}"/>
    <hyperlink ref="B103" r:id="rId19" xr:uid="{00000000-0004-0000-0000-000012000000}"/>
    <hyperlink ref="B131" r:id="rId20" xr:uid="{00000000-0004-0000-0000-000013000000}"/>
    <hyperlink ref="B178" r:id="rId21" xr:uid="{00000000-0004-0000-0000-000014000000}"/>
    <hyperlink ref="B104" r:id="rId22" xr:uid="{00000000-0004-0000-0000-000015000000}"/>
    <hyperlink ref="B18" r:id="rId23" xr:uid="{00000000-0004-0000-0000-000016000000}"/>
    <hyperlink ref="B186" r:id="rId24" xr:uid="{00000000-0004-0000-0000-000017000000}"/>
    <hyperlink ref="B35" r:id="rId25" xr:uid="{00000000-0004-0000-0000-000018000000}"/>
    <hyperlink ref="B19" r:id="rId26" xr:uid="{00000000-0004-0000-0000-000019000000}"/>
    <hyperlink ref="B155" r:id="rId27" xr:uid="{00000000-0004-0000-0000-00001A000000}"/>
    <hyperlink ref="B105" r:id="rId28" xr:uid="{00000000-0004-0000-0000-00001B000000}"/>
    <hyperlink ref="B106" r:id="rId29" xr:uid="{00000000-0004-0000-0000-00001C000000}"/>
    <hyperlink ref="B75" r:id="rId30" xr:uid="{00000000-0004-0000-0000-00001D000000}"/>
    <hyperlink ref="B179" r:id="rId31" xr:uid="{00000000-0004-0000-0000-00001E000000}"/>
    <hyperlink ref="B43" r:id="rId32" xr:uid="{00000000-0004-0000-0000-00001F000000}"/>
    <hyperlink ref="B170" r:id="rId33" xr:uid="{00000000-0004-0000-0000-000020000000}"/>
    <hyperlink ref="B76" r:id="rId34" xr:uid="{00000000-0004-0000-0000-000021000000}"/>
    <hyperlink ref="B163" r:id="rId35" xr:uid="{00000000-0004-0000-0000-000022000000}"/>
    <hyperlink ref="B60" r:id="rId36" xr:uid="{00000000-0004-0000-0000-000023000000}"/>
    <hyperlink ref="B171" r:id="rId37" xr:uid="{00000000-0004-0000-0000-000024000000}"/>
    <hyperlink ref="B77" r:id="rId38" xr:uid="{00000000-0004-0000-0000-000025000000}"/>
    <hyperlink ref="B187" r:id="rId39" xr:uid="{00000000-0004-0000-0000-000026000000}"/>
    <hyperlink ref="B123" r:id="rId40" xr:uid="{00000000-0004-0000-0000-000027000000}"/>
    <hyperlink ref="B188" r:id="rId41" xr:uid="{00000000-0004-0000-0000-000028000000}"/>
    <hyperlink ref="B124" r:id="rId42" xr:uid="{00000000-0004-0000-0000-000029000000}"/>
    <hyperlink ref="B132" r:id="rId43" xr:uid="{00000000-0004-0000-0000-00002A000000}"/>
    <hyperlink ref="B107" r:id="rId44" xr:uid="{00000000-0004-0000-0000-00002B000000}"/>
    <hyperlink ref="B44" r:id="rId45" xr:uid="{00000000-0004-0000-0000-00002C000000}"/>
    <hyperlink ref="B78" r:id="rId46" xr:uid="{00000000-0004-0000-0000-00002D000000}"/>
    <hyperlink ref="B91" r:id="rId47" xr:uid="{00000000-0004-0000-0000-00002E000000}"/>
    <hyperlink ref="B36" r:id="rId48" xr:uid="{00000000-0004-0000-0000-00002F000000}"/>
    <hyperlink ref="B156" r:id="rId49" xr:uid="{00000000-0004-0000-0000-000030000000}"/>
    <hyperlink ref="B180" r:id="rId50" xr:uid="{00000000-0004-0000-0000-000031000000}"/>
    <hyperlink ref="B189" r:id="rId51" xr:uid="{00000000-0004-0000-0000-000032000000}"/>
    <hyperlink ref="B164" r:id="rId52" xr:uid="{00000000-0004-0000-0000-000033000000}"/>
    <hyperlink ref="B165" r:id="rId53" xr:uid="{00000000-0004-0000-0000-000034000000}"/>
    <hyperlink ref="B181" r:id="rId54" xr:uid="{00000000-0004-0000-0000-000035000000}"/>
    <hyperlink ref="B157" r:id="rId55" xr:uid="{00000000-0004-0000-0000-000036000000}"/>
    <hyperlink ref="B148" r:id="rId56" xr:uid="{00000000-0004-0000-0000-000037000000}"/>
    <hyperlink ref="B133" r:id="rId57" xr:uid="{00000000-0004-0000-0000-000038000000}"/>
    <hyperlink ref="B45" r:id="rId58" xr:uid="{00000000-0004-0000-0000-000039000000}"/>
    <hyperlink ref="B79" r:id="rId59" xr:uid="{00000000-0004-0000-0000-00003A000000}"/>
    <hyperlink ref="B139" r:id="rId60" xr:uid="{00000000-0004-0000-0000-00003B000000}"/>
    <hyperlink ref="B125" r:id="rId61" xr:uid="{00000000-0004-0000-0000-00003C000000}"/>
    <hyperlink ref="B20" r:id="rId62" xr:uid="{00000000-0004-0000-0000-00003D000000}"/>
    <hyperlink ref="B80" r:id="rId63" xr:uid="{00000000-0004-0000-0000-00003E000000}"/>
    <hyperlink ref="B149" r:id="rId64" xr:uid="{00000000-0004-0000-0000-00003F000000}"/>
    <hyperlink ref="B46" r:id="rId65" xr:uid="{00000000-0004-0000-0000-000040000000}"/>
    <hyperlink ref="B21" r:id="rId66" xr:uid="{00000000-0004-0000-0000-000041000000}"/>
    <hyperlink ref="B190" r:id="rId67" xr:uid="{00000000-0004-0000-0000-000042000000}"/>
    <hyperlink ref="B108" r:id="rId68" xr:uid="{00000000-0004-0000-0000-000043000000}"/>
    <hyperlink ref="B191" r:id="rId69" xr:uid="{00000000-0004-0000-0000-000044000000}"/>
    <hyperlink ref="B92" r:id="rId70" xr:uid="{00000000-0004-0000-0000-000045000000}"/>
    <hyperlink ref="B61" r:id="rId71" xr:uid="{00000000-0004-0000-0000-000046000000}"/>
    <hyperlink ref="B166" r:id="rId72" xr:uid="{00000000-0004-0000-0000-000047000000}"/>
    <hyperlink ref="B22" r:id="rId73" xr:uid="{00000000-0004-0000-0000-000048000000}"/>
    <hyperlink ref="B109" r:id="rId74" xr:uid="{00000000-0004-0000-0000-000049000000}"/>
    <hyperlink ref="B81" r:id="rId75" xr:uid="{00000000-0004-0000-0000-00004A000000}"/>
    <hyperlink ref="B23" r:id="rId76" xr:uid="{00000000-0004-0000-0000-00004B000000}"/>
    <hyperlink ref="B172" r:id="rId77" xr:uid="{00000000-0004-0000-0000-00004C000000}"/>
    <hyperlink ref="B110" r:id="rId78" xr:uid="{00000000-0004-0000-0000-00004D000000}"/>
    <hyperlink ref="B134" r:id="rId79" xr:uid="{00000000-0004-0000-0000-00004E000000}"/>
    <hyperlink ref="B47" r:id="rId80" xr:uid="{00000000-0004-0000-0000-00004F000000}"/>
    <hyperlink ref="B62" r:id="rId81" xr:uid="{00000000-0004-0000-0000-000050000000}"/>
    <hyperlink ref="B192" r:id="rId82" xr:uid="{00000000-0004-0000-0000-000051000000}"/>
    <hyperlink ref="B63" r:id="rId83" xr:uid="{00000000-0004-0000-0000-000052000000}"/>
    <hyperlink ref="B82" r:id="rId84" xr:uid="{00000000-0004-0000-0000-000053000000}"/>
    <hyperlink ref="B111" r:id="rId85" xr:uid="{00000000-0004-0000-0000-000054000000}"/>
    <hyperlink ref="B64" r:id="rId86" xr:uid="{00000000-0004-0000-0000-000055000000}"/>
    <hyperlink ref="B112" r:id="rId87" xr:uid="{00000000-0004-0000-0000-000056000000}"/>
    <hyperlink ref="B24" r:id="rId88" xr:uid="{00000000-0004-0000-0000-000057000000}"/>
    <hyperlink ref="B193" r:id="rId89" xr:uid="{00000000-0004-0000-0000-000058000000}"/>
    <hyperlink ref="B65" r:id="rId90" xr:uid="{00000000-0004-0000-0000-000059000000}"/>
    <hyperlink ref="B66" r:id="rId91" xr:uid="{00000000-0004-0000-0000-00005A000000}"/>
    <hyperlink ref="B67" r:id="rId92" xr:uid="{00000000-0004-0000-0000-00005B000000}"/>
    <hyperlink ref="B113" r:id="rId93" xr:uid="{00000000-0004-0000-0000-00005C000000}"/>
    <hyperlink ref="B37" r:id="rId94" xr:uid="{00000000-0004-0000-0000-00005D000000}"/>
    <hyperlink ref="B173" r:id="rId95" xr:uid="{00000000-0004-0000-0000-00005E000000}"/>
    <hyperlink ref="B140" r:id="rId96" xr:uid="{00000000-0004-0000-0000-00005F000000}"/>
    <hyperlink ref="B141" r:id="rId97" xr:uid="{00000000-0004-0000-0000-000060000000}"/>
    <hyperlink ref="B194" r:id="rId98" xr:uid="{00000000-0004-0000-0000-000061000000}"/>
    <hyperlink ref="B25" r:id="rId99" xr:uid="{00000000-0004-0000-0000-000062000000}"/>
    <hyperlink ref="B93" r:id="rId100" xr:uid="{00000000-0004-0000-0000-000063000000}"/>
    <hyperlink ref="B68" r:id="rId101" xr:uid="{00000000-0004-0000-0000-000064000000}"/>
    <hyperlink ref="B26" r:id="rId102" xr:uid="{00000000-0004-0000-0000-000065000000}"/>
    <hyperlink ref="B167" r:id="rId103" xr:uid="{00000000-0004-0000-0000-000066000000}"/>
    <hyperlink ref="B27" r:id="rId104" xr:uid="{00000000-0004-0000-0000-000067000000}"/>
    <hyperlink ref="B126" r:id="rId105" xr:uid="{00000000-0004-0000-0000-000068000000}"/>
    <hyperlink ref="B135" r:id="rId106" xr:uid="{00000000-0004-0000-0000-000069000000}"/>
    <hyperlink ref="B158" r:id="rId107" xr:uid="{00000000-0004-0000-0000-00006A000000}"/>
    <hyperlink ref="B195" r:id="rId108" xr:uid="{00000000-0004-0000-0000-00006B000000}"/>
    <hyperlink ref="B182" r:id="rId109" xr:uid="{00000000-0004-0000-0000-00006C000000}"/>
    <hyperlink ref="B114" r:id="rId110" xr:uid="{00000000-0004-0000-0000-00006D000000}"/>
    <hyperlink ref="B115" r:id="rId111" xr:uid="{00000000-0004-0000-0000-00006E000000}"/>
    <hyperlink ref="B94" r:id="rId112" xr:uid="{00000000-0004-0000-0000-00006F000000}"/>
    <hyperlink ref="B168" r:id="rId113" xr:uid="{00000000-0004-0000-0000-000070000000}"/>
    <hyperlink ref="B83" r:id="rId114" xr:uid="{00000000-0004-0000-0000-000071000000}"/>
    <hyperlink ref="B150" r:id="rId115" xr:uid="{00000000-0004-0000-0000-000072000000}"/>
    <hyperlink ref="B127" r:id="rId116" xr:uid="{00000000-0004-0000-0000-000073000000}"/>
    <hyperlink ref="B28" r:id="rId117" xr:uid="{00000000-0004-0000-0000-000074000000}"/>
    <hyperlink ref="B95" r:id="rId118" xr:uid="{00000000-0004-0000-0000-000075000000}"/>
    <hyperlink ref="B116" r:id="rId119" xr:uid="{00000000-0004-0000-0000-000076000000}"/>
    <hyperlink ref="B174" r:id="rId120" xr:uid="{00000000-0004-0000-0000-000077000000}"/>
    <hyperlink ref="B196" r:id="rId121" xr:uid="{00000000-0004-0000-0000-000078000000}"/>
    <hyperlink ref="B38" r:id="rId122" xr:uid="{00000000-0004-0000-0000-000079000000}"/>
    <hyperlink ref="B84" r:id="rId123" xr:uid="{00000000-0004-0000-0000-00007A000000}"/>
    <hyperlink ref="B197" r:id="rId124" xr:uid="{00000000-0004-0000-0000-00007B000000}"/>
    <hyperlink ref="B69" r:id="rId125" xr:uid="{00000000-0004-0000-0000-00007C000000}"/>
    <hyperlink ref="B85" r:id="rId126" xr:uid="{00000000-0004-0000-0000-00007D000000}"/>
    <hyperlink ref="B183" r:id="rId127" xr:uid="{00000000-0004-0000-0000-00007E000000}"/>
    <hyperlink ref="B175" r:id="rId128" xr:uid="{00000000-0004-0000-0000-00007F000000}"/>
    <hyperlink ref="B39" r:id="rId129" xr:uid="{00000000-0004-0000-0000-000080000000}"/>
    <hyperlink ref="B70" r:id="rId130" xr:uid="{00000000-0004-0000-0000-000081000000}"/>
    <hyperlink ref="B40" r:id="rId131" xr:uid="{00000000-0004-0000-0000-000082000000}"/>
    <hyperlink ref="B48" r:id="rId132" xr:uid="{00000000-0004-0000-0000-000083000000}"/>
    <hyperlink ref="B71" r:id="rId133" xr:uid="{00000000-0004-0000-0000-000084000000}"/>
    <hyperlink ref="B49" r:id="rId134" xr:uid="{00000000-0004-0000-0000-000085000000}"/>
    <hyperlink ref="B151" r:id="rId135" xr:uid="{00000000-0004-0000-0000-000086000000}"/>
    <hyperlink ref="B184" r:id="rId136" xr:uid="{00000000-0004-0000-0000-000087000000}"/>
    <hyperlink ref="B159" r:id="rId137" xr:uid="{00000000-0004-0000-0000-000088000000}"/>
    <hyperlink ref="B29" r:id="rId138" xr:uid="{00000000-0004-0000-0000-000089000000}"/>
    <hyperlink ref="B128" r:id="rId139" xr:uid="{00000000-0004-0000-0000-00008A000000}"/>
    <hyperlink ref="B86" r:id="rId140" xr:uid="{00000000-0004-0000-0000-00008B000000}"/>
    <hyperlink ref="B50" r:id="rId141" xr:uid="{00000000-0004-0000-0000-00008C000000}"/>
    <hyperlink ref="B51" r:id="rId142" xr:uid="{00000000-0004-0000-0000-00008D000000}"/>
    <hyperlink ref="B87" r:id="rId143" xr:uid="{00000000-0004-0000-0000-00008E000000}"/>
    <hyperlink ref="B117" r:id="rId144" xr:uid="{00000000-0004-0000-0000-00008F000000}"/>
    <hyperlink ref="B118" r:id="rId145" xr:uid="{00000000-0004-0000-0000-000090000000}"/>
    <hyperlink ref="B142" r:id="rId146" xr:uid="{00000000-0004-0000-0000-000091000000}"/>
    <hyperlink ref="B198" r:id="rId147" xr:uid="{00000000-0004-0000-0000-000092000000}"/>
    <hyperlink ref="B52" r:id="rId148" xr:uid="{00000000-0004-0000-0000-000093000000}"/>
    <hyperlink ref="B41" r:id="rId149" xr:uid="{00000000-0004-0000-0000-000094000000}"/>
    <hyperlink ref="B30" r:id="rId150" xr:uid="{00000000-0004-0000-0000-000095000000}"/>
    <hyperlink ref="B119" r:id="rId151" xr:uid="{00000000-0004-0000-0000-000096000000}"/>
    <hyperlink ref="B53" r:id="rId152" xr:uid="{00000000-0004-0000-0000-000097000000}"/>
    <hyperlink ref="B72" r:id="rId153" xr:uid="{00000000-0004-0000-0000-000098000000}"/>
    <hyperlink ref="B199" r:id="rId154" xr:uid="{00000000-0004-0000-0000-000099000000}"/>
    <hyperlink ref="B185" r:id="rId155" xr:uid="{00000000-0004-0000-0000-00009A000000}"/>
    <hyperlink ref="B160" r:id="rId156" xr:uid="{00000000-0004-0000-0000-00009B000000}"/>
    <hyperlink ref="B161" r:id="rId157" xr:uid="{00000000-0004-0000-0000-00009C000000}"/>
    <hyperlink ref="B54" r:id="rId158" xr:uid="{00000000-0004-0000-0000-00009D000000}"/>
    <hyperlink ref="B169" r:id="rId159" xr:uid="{00000000-0004-0000-0000-00009E000000}"/>
    <hyperlink ref="B136" r:id="rId160" xr:uid="{00000000-0004-0000-0000-00009F000000}"/>
    <hyperlink ref="B73" r:id="rId161" xr:uid="{00000000-0004-0000-0000-0000A0000000}"/>
    <hyperlink ref="B55" r:id="rId162" xr:uid="{00000000-0004-0000-0000-0000A1000000}"/>
    <hyperlink ref="B88" r:id="rId163" xr:uid="{00000000-0004-0000-0000-0000A2000000}"/>
    <hyperlink ref="B200" r:id="rId164" xr:uid="{00000000-0004-0000-0000-0000A3000000}"/>
    <hyperlink ref="B129" r:id="rId165" xr:uid="{00000000-0004-0000-0000-0000A4000000}"/>
    <hyperlink ref="B201" r:id="rId166" xr:uid="{00000000-0004-0000-0000-0000A5000000}"/>
    <hyperlink ref="B143" r:id="rId167" xr:uid="{00000000-0004-0000-0000-0000A6000000}"/>
    <hyperlink ref="B144" r:id="rId168" xr:uid="{00000000-0004-0000-0000-0000A7000000}"/>
    <hyperlink ref="B145" r:id="rId169" xr:uid="{00000000-0004-0000-0000-0000A8000000}"/>
    <hyperlink ref="B176" r:id="rId170" xr:uid="{00000000-0004-0000-0000-0000A9000000}"/>
    <hyperlink ref="B120" r:id="rId171" xr:uid="{00000000-0004-0000-0000-0000AA000000}"/>
    <hyperlink ref="B152" r:id="rId172" xr:uid="{00000000-0004-0000-0000-0000AB000000}"/>
    <hyperlink ref="B137" r:id="rId173" xr:uid="{00000000-0004-0000-0000-0000AC000000}"/>
    <hyperlink ref="B89" r:id="rId174" xr:uid="{00000000-0004-0000-0000-0000AD000000}"/>
    <hyperlink ref="B121" r:id="rId175" xr:uid="{00000000-0004-0000-0000-0000AE000000}"/>
    <hyperlink ref="B96" r:id="rId176" xr:uid="{00000000-0004-0000-0000-0000AF000000}"/>
    <hyperlink ref="B56" r:id="rId177" xr:uid="{00000000-0004-0000-0000-0000B0000000}"/>
    <hyperlink ref="B57" r:id="rId178" xr:uid="{00000000-0004-0000-0000-0000B1000000}"/>
    <hyperlink ref="B153" r:id="rId179" xr:uid="{00000000-0004-0000-0000-0000B2000000}"/>
    <hyperlink ref="B31" r:id="rId180" xr:uid="{00000000-0004-0000-0000-0000B3000000}"/>
    <hyperlink ref="B97" r:id="rId181" xr:uid="{00000000-0004-0000-0000-0000B4000000}"/>
    <hyperlink ref="B32" r:id="rId182" xr:uid="{00000000-0004-0000-0000-0000B5000000}"/>
    <hyperlink ref="B177" r:id="rId183" xr:uid="{00000000-0004-0000-0000-0000B6000000}"/>
    <hyperlink ref="B33" r:id="rId184" xr:uid="{00000000-0004-0000-0000-0000B7000000}"/>
  </hyperlinks>
  <pageMargins left="0" right="0" top="0" bottom="0" header="0" footer="0"/>
  <pageSetup orientation="portrait" r:id="rId18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0ED7-34CC-439B-B87C-5E83BB92804B}">
  <dimension ref="A2:D43"/>
  <sheetViews>
    <sheetView tabSelected="1" workbookViewId="0">
      <selection activeCell="B50" sqref="B50"/>
    </sheetView>
  </sheetViews>
  <sheetFormatPr defaultRowHeight="13.2"/>
  <cols>
    <col min="1" max="1" width="35.6640625" bestFit="1" customWidth="1"/>
    <col min="2" max="2" width="31.5546875" bestFit="1" customWidth="1"/>
    <col min="3" max="3" width="19.33203125" bestFit="1" customWidth="1"/>
    <col min="4" max="4" width="25.77734375" bestFit="1" customWidth="1"/>
  </cols>
  <sheetData>
    <row r="2" spans="1:4" ht="13.8" thickBot="1"/>
    <row r="3" spans="1:4" ht="19.8" thickTop="1" thickBot="1">
      <c r="A3" s="80" t="s">
        <v>2</v>
      </c>
      <c r="B3" s="80" t="s">
        <v>1</v>
      </c>
      <c r="C3" s="80" t="s">
        <v>262</v>
      </c>
      <c r="D3" s="80" t="s">
        <v>248</v>
      </c>
    </row>
    <row r="4" spans="1:4" ht="14.4" thickTop="1" thickBot="1">
      <c r="A4" s="31" t="s">
        <v>104</v>
      </c>
      <c r="B4" s="31"/>
      <c r="C4" s="78">
        <v>80</v>
      </c>
      <c r="D4" s="79" t="str">
        <f>IF(A4="","", IF(C4&gt;=67,"yes", "no"))</f>
        <v>yes</v>
      </c>
    </row>
    <row r="5" spans="1:4" ht="14.4" thickTop="1" thickBot="1">
      <c r="A5" s="24"/>
      <c r="B5" s="24" t="s">
        <v>103</v>
      </c>
      <c r="C5" s="76">
        <v>80</v>
      </c>
      <c r="D5" s="77" t="str">
        <f t="shared" ref="D5:D41" si="0">IF(A5="","", IF(C5&gt;=67,"yes", "no"))</f>
        <v/>
      </c>
    </row>
    <row r="6" spans="1:4" ht="14.4" thickTop="1" thickBot="1">
      <c r="A6" s="24" t="s">
        <v>59</v>
      </c>
      <c r="B6" s="24"/>
      <c r="C6" s="76">
        <v>83</v>
      </c>
      <c r="D6" s="77" t="str">
        <f t="shared" si="0"/>
        <v>yes</v>
      </c>
    </row>
    <row r="7" spans="1:4" ht="14.4" thickTop="1" thickBot="1">
      <c r="A7" s="24"/>
      <c r="B7" s="24" t="s">
        <v>58</v>
      </c>
      <c r="C7" s="76">
        <v>83</v>
      </c>
      <c r="D7" s="77" t="str">
        <f t="shared" si="0"/>
        <v/>
      </c>
    </row>
    <row r="8" spans="1:4" ht="14.4" thickTop="1" thickBot="1">
      <c r="A8" s="24" t="s">
        <v>31</v>
      </c>
      <c r="B8" s="24"/>
      <c r="C8" s="76">
        <v>46</v>
      </c>
      <c r="D8" s="77" t="str">
        <f t="shared" si="0"/>
        <v>no</v>
      </c>
    </row>
    <row r="9" spans="1:4" ht="14.4" thickTop="1" thickBot="1">
      <c r="A9" s="24"/>
      <c r="B9" s="24" t="s">
        <v>30</v>
      </c>
      <c r="C9" s="76">
        <v>46</v>
      </c>
      <c r="D9" s="77" t="str">
        <f t="shared" si="0"/>
        <v/>
      </c>
    </row>
    <row r="10" spans="1:4" ht="14.4" thickTop="1" thickBot="1">
      <c r="A10" s="24" t="s">
        <v>50</v>
      </c>
      <c r="B10" s="24"/>
      <c r="C10" s="76">
        <v>74</v>
      </c>
      <c r="D10" s="77" t="str">
        <f t="shared" si="0"/>
        <v>yes</v>
      </c>
    </row>
    <row r="11" spans="1:4" ht="14.4" thickTop="1" thickBot="1">
      <c r="A11" s="24"/>
      <c r="B11" s="24" t="s">
        <v>49</v>
      </c>
      <c r="C11" s="76">
        <v>39</v>
      </c>
      <c r="D11" s="77" t="str">
        <f t="shared" si="0"/>
        <v/>
      </c>
    </row>
    <row r="12" spans="1:4" ht="14.4" thickTop="1" thickBot="1">
      <c r="A12" s="24"/>
      <c r="B12" s="24" t="s">
        <v>71</v>
      </c>
      <c r="C12" s="76">
        <v>35</v>
      </c>
      <c r="D12" s="77" t="str">
        <f t="shared" si="0"/>
        <v/>
      </c>
    </row>
    <row r="13" spans="1:4" ht="14.4" thickTop="1" thickBot="1">
      <c r="A13" s="24" t="s">
        <v>22</v>
      </c>
      <c r="B13" s="24"/>
      <c r="C13" s="76">
        <v>70</v>
      </c>
      <c r="D13" s="77" t="str">
        <f t="shared" si="0"/>
        <v>yes</v>
      </c>
    </row>
    <row r="14" spans="1:4" ht="14.4" thickTop="1" thickBot="1">
      <c r="A14" s="24"/>
      <c r="B14" s="24" t="s">
        <v>21</v>
      </c>
      <c r="C14" s="76">
        <v>30</v>
      </c>
      <c r="D14" s="77" t="str">
        <f t="shared" si="0"/>
        <v/>
      </c>
    </row>
    <row r="15" spans="1:4" ht="14.4" thickTop="1" thickBot="1">
      <c r="A15" s="24"/>
      <c r="B15" s="24" t="s">
        <v>129</v>
      </c>
      <c r="C15" s="76">
        <v>40</v>
      </c>
      <c r="D15" s="77" t="str">
        <f t="shared" si="0"/>
        <v/>
      </c>
    </row>
    <row r="16" spans="1:4" ht="14.4" thickTop="1" thickBot="1">
      <c r="A16" s="24" t="s">
        <v>35</v>
      </c>
      <c r="B16" s="24"/>
      <c r="C16" s="76">
        <v>81</v>
      </c>
      <c r="D16" s="77" t="str">
        <f t="shared" si="0"/>
        <v>yes</v>
      </c>
    </row>
    <row r="17" spans="1:4" ht="14.4" thickTop="1" thickBot="1">
      <c r="A17" s="24"/>
      <c r="B17" s="24" t="s">
        <v>34</v>
      </c>
      <c r="C17" s="76">
        <v>81</v>
      </c>
      <c r="D17" s="77" t="str">
        <f t="shared" si="0"/>
        <v/>
      </c>
    </row>
    <row r="18" spans="1:4" ht="14.4" thickTop="1" thickBot="1">
      <c r="A18" s="24" t="s">
        <v>47</v>
      </c>
      <c r="B18" s="24"/>
      <c r="C18" s="76">
        <v>54</v>
      </c>
      <c r="D18" s="77" t="str">
        <f t="shared" si="0"/>
        <v>no</v>
      </c>
    </row>
    <row r="19" spans="1:4" ht="14.4" thickTop="1" thickBot="1">
      <c r="A19" s="24"/>
      <c r="B19" s="24" t="s">
        <v>46</v>
      </c>
      <c r="C19" s="76">
        <v>54</v>
      </c>
      <c r="D19" s="77" t="str">
        <f t="shared" si="0"/>
        <v/>
      </c>
    </row>
    <row r="20" spans="1:4" ht="14.4" thickTop="1" thickBot="1">
      <c r="A20" s="24" t="s">
        <v>10</v>
      </c>
      <c r="B20" s="24"/>
      <c r="C20" s="76">
        <v>111</v>
      </c>
      <c r="D20" s="77" t="str">
        <f t="shared" si="0"/>
        <v>yes</v>
      </c>
    </row>
    <row r="21" spans="1:4" ht="14.4" thickTop="1" thickBot="1">
      <c r="A21" s="24"/>
      <c r="B21" s="24" t="s">
        <v>9</v>
      </c>
      <c r="C21" s="76">
        <v>75</v>
      </c>
      <c r="D21" s="77" t="str">
        <f t="shared" si="0"/>
        <v/>
      </c>
    </row>
    <row r="22" spans="1:4" ht="14.4" thickTop="1" thickBot="1">
      <c r="A22" s="24"/>
      <c r="B22" s="24" t="s">
        <v>15</v>
      </c>
      <c r="C22" s="76">
        <v>36</v>
      </c>
      <c r="D22" s="77" t="str">
        <f t="shared" si="0"/>
        <v/>
      </c>
    </row>
    <row r="23" spans="1:4" ht="14.4" thickTop="1" thickBot="1">
      <c r="A23" s="24" t="s">
        <v>13</v>
      </c>
      <c r="B23" s="24"/>
      <c r="C23" s="76">
        <v>40</v>
      </c>
      <c r="D23" s="77" t="str">
        <f t="shared" si="0"/>
        <v>no</v>
      </c>
    </row>
    <row r="24" spans="1:4" ht="14.4" thickTop="1" thickBot="1">
      <c r="A24" s="24"/>
      <c r="B24" s="24" t="s">
        <v>12</v>
      </c>
      <c r="C24" s="76">
        <v>40</v>
      </c>
      <c r="D24" s="77" t="str">
        <f t="shared" si="0"/>
        <v/>
      </c>
    </row>
    <row r="25" spans="1:4" ht="14.4" thickTop="1" thickBot="1">
      <c r="A25" s="24" t="s">
        <v>44</v>
      </c>
      <c r="B25" s="24"/>
      <c r="C25" s="76">
        <v>43</v>
      </c>
      <c r="D25" s="77" t="str">
        <f t="shared" si="0"/>
        <v>no</v>
      </c>
    </row>
    <row r="26" spans="1:4" ht="14.4" thickTop="1" thickBot="1">
      <c r="A26" s="24"/>
      <c r="B26" s="24" t="s">
        <v>43</v>
      </c>
      <c r="C26" s="76">
        <v>43</v>
      </c>
      <c r="D26" s="77" t="str">
        <f t="shared" si="0"/>
        <v/>
      </c>
    </row>
    <row r="27" spans="1:4" ht="14.4" thickTop="1" thickBot="1">
      <c r="A27" s="24" t="s">
        <v>40</v>
      </c>
      <c r="B27" s="24"/>
      <c r="C27" s="76">
        <v>35</v>
      </c>
      <c r="D27" s="77" t="str">
        <f t="shared" si="0"/>
        <v>no</v>
      </c>
    </row>
    <row r="28" spans="1:4" ht="14.4" thickTop="1" thickBot="1">
      <c r="A28" s="24"/>
      <c r="B28" s="24" t="s">
        <v>39</v>
      </c>
      <c r="C28" s="76">
        <v>35</v>
      </c>
      <c r="D28" s="77" t="str">
        <f t="shared" si="0"/>
        <v/>
      </c>
    </row>
    <row r="29" spans="1:4" ht="14.4" thickTop="1" thickBot="1">
      <c r="A29" s="24" t="s">
        <v>28</v>
      </c>
      <c r="B29" s="24"/>
      <c r="C29" s="76">
        <v>34</v>
      </c>
      <c r="D29" s="77" t="str">
        <f t="shared" si="0"/>
        <v>no</v>
      </c>
    </row>
    <row r="30" spans="1:4" ht="14.4" thickTop="1" thickBot="1">
      <c r="A30" s="24"/>
      <c r="B30" s="24" t="s">
        <v>27</v>
      </c>
      <c r="C30" s="76">
        <v>34</v>
      </c>
      <c r="D30" s="77" t="str">
        <f t="shared" si="0"/>
        <v/>
      </c>
    </row>
    <row r="31" spans="1:4" ht="14.4" thickTop="1" thickBot="1">
      <c r="A31" s="24" t="s">
        <v>25</v>
      </c>
      <c r="B31" s="24"/>
      <c r="C31" s="76">
        <v>36</v>
      </c>
      <c r="D31" s="77" t="str">
        <f t="shared" si="0"/>
        <v>no</v>
      </c>
    </row>
    <row r="32" spans="1:4" ht="14.4" thickTop="1" thickBot="1">
      <c r="A32" s="24"/>
      <c r="B32" s="24" t="s">
        <v>24</v>
      </c>
      <c r="C32" s="76">
        <v>36</v>
      </c>
      <c r="D32" s="77" t="str">
        <f t="shared" si="0"/>
        <v/>
      </c>
    </row>
    <row r="33" spans="1:4" ht="14.4" thickTop="1" thickBot="1">
      <c r="A33" s="24" t="s">
        <v>18</v>
      </c>
      <c r="B33" s="24"/>
      <c r="C33" s="76">
        <v>49</v>
      </c>
      <c r="D33" s="77" t="str">
        <f t="shared" si="0"/>
        <v>no</v>
      </c>
    </row>
    <row r="34" spans="1:4" ht="14.4" thickTop="1" thickBot="1">
      <c r="A34" s="24"/>
      <c r="B34" s="24" t="s">
        <v>17</v>
      </c>
      <c r="C34" s="76">
        <v>49</v>
      </c>
      <c r="D34" s="77" t="str">
        <f t="shared" si="0"/>
        <v/>
      </c>
    </row>
    <row r="35" spans="1:4" ht="14.4" thickTop="1" thickBot="1">
      <c r="A35" s="24" t="s">
        <v>74</v>
      </c>
      <c r="B35" s="24"/>
      <c r="C35" s="76">
        <v>57</v>
      </c>
      <c r="D35" s="77" t="str">
        <f t="shared" si="0"/>
        <v>no</v>
      </c>
    </row>
    <row r="36" spans="1:4" ht="14.4" thickTop="1" thickBot="1">
      <c r="A36" s="24"/>
      <c r="B36" s="24" t="s">
        <v>73</v>
      </c>
      <c r="C36" s="76">
        <v>57</v>
      </c>
      <c r="D36" s="77" t="str">
        <f t="shared" si="0"/>
        <v/>
      </c>
    </row>
    <row r="37" spans="1:4" ht="14.4" thickTop="1" thickBot="1">
      <c r="A37" s="24" t="s">
        <v>55</v>
      </c>
      <c r="B37" s="24"/>
      <c r="C37" s="76">
        <v>38</v>
      </c>
      <c r="D37" s="77" t="str">
        <f t="shared" si="0"/>
        <v>no</v>
      </c>
    </row>
    <row r="38" spans="1:4" ht="14.4" thickTop="1" thickBot="1">
      <c r="A38" s="24"/>
      <c r="B38" s="24" t="s">
        <v>54</v>
      </c>
      <c r="C38" s="76">
        <v>38</v>
      </c>
      <c r="D38" s="77" t="str">
        <f t="shared" si="0"/>
        <v/>
      </c>
    </row>
    <row r="39" spans="1:4" ht="14.4" thickTop="1" thickBot="1">
      <c r="A39" s="24" t="s">
        <v>62</v>
      </c>
      <c r="B39" s="24"/>
      <c r="C39" s="76">
        <v>88</v>
      </c>
      <c r="D39" s="77" t="str">
        <f t="shared" si="0"/>
        <v>yes</v>
      </c>
    </row>
    <row r="40" spans="1:4" ht="14.4" thickTop="1" thickBot="1">
      <c r="A40" s="24"/>
      <c r="B40" s="24" t="s">
        <v>61</v>
      </c>
      <c r="C40" s="76">
        <v>42</v>
      </c>
      <c r="D40" s="77" t="str">
        <f t="shared" si="0"/>
        <v/>
      </c>
    </row>
    <row r="41" spans="1:4" ht="14.4" thickTop="1" thickBot="1">
      <c r="A41" s="24"/>
      <c r="B41" s="24" t="s">
        <v>81</v>
      </c>
      <c r="C41" s="76">
        <v>46</v>
      </c>
      <c r="D41" s="77" t="str">
        <f t="shared" si="0"/>
        <v/>
      </c>
    </row>
    <row r="42" spans="1:4" ht="14.4" thickTop="1" thickBot="1">
      <c r="A42" s="81" t="s">
        <v>247</v>
      </c>
      <c r="B42" s="81"/>
      <c r="C42" s="82">
        <v>1019</v>
      </c>
      <c r="D42" s="24"/>
    </row>
    <row r="43" spans="1:4" ht="13.8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D2A8-906D-487C-B830-2289C143B149}">
  <dimension ref="A1:M202"/>
  <sheetViews>
    <sheetView zoomScale="112" zoomScaleNormal="112" workbookViewId="0"/>
  </sheetViews>
  <sheetFormatPr defaultRowHeight="13.2"/>
  <cols>
    <col min="1" max="1" width="16" customWidth="1"/>
    <col min="2" max="2" width="14.88671875" style="26" customWidth="1"/>
    <col min="3" max="3" width="14.44140625" style="30" customWidth="1"/>
  </cols>
  <sheetData>
    <row r="1" spans="1:3" ht="19.2" thickBot="1">
      <c r="A1" s="34" t="s">
        <v>249</v>
      </c>
      <c r="B1" s="35" t="s">
        <v>250</v>
      </c>
      <c r="C1" s="36" t="s">
        <v>251</v>
      </c>
    </row>
    <row r="2" spans="1:3" ht="14.4" thickTop="1" thickBot="1">
      <c r="A2" s="31" t="str">
        <f>'My trades'!A2</f>
        <v>hrfilyua</v>
      </c>
      <c r="B2" s="32">
        <f>_xlfn.DAYS('My trades'!G2, 'My trades'!D2)</f>
        <v>644</v>
      </c>
      <c r="C2" s="33">
        <f>('My trades'!H2-'My trades'!F2)*'My trades'!E2</f>
        <v>1.1964639334637579</v>
      </c>
    </row>
    <row r="3" spans="1:3" ht="14.4" thickTop="1" thickBot="1">
      <c r="A3" s="24" t="str">
        <f>'My trades'!A3</f>
        <v>jgrpnvil</v>
      </c>
      <c r="B3" s="28">
        <f>_xlfn.DAYS('My trades'!G3, 'My trades'!D3)</f>
        <v>467</v>
      </c>
      <c r="C3" s="29">
        <f>('My trades'!H3-'My trades'!F3)*'My trades'!E3</f>
        <v>0.470060188958903</v>
      </c>
    </row>
    <row r="4" spans="1:3" ht="14.4" thickTop="1" thickBot="1">
      <c r="A4" s="24" t="str">
        <f>'My trades'!A4</f>
        <v>knrhgdai</v>
      </c>
      <c r="B4" s="28">
        <f>_xlfn.DAYS('My trades'!G4, 'My trades'!D4)</f>
        <v>407</v>
      </c>
      <c r="C4" s="29">
        <f>('My trades'!H4-'My trades'!F4)*'My trades'!E4</f>
        <v>-0.37735846191132916</v>
      </c>
    </row>
    <row r="5" spans="1:3" ht="14.4" thickTop="1" thickBot="1">
      <c r="A5" s="24" t="str">
        <f>'My trades'!A5</f>
        <v>kweyaukr</v>
      </c>
      <c r="B5" s="28">
        <f>_xlfn.DAYS('My trades'!G5, 'My trades'!D5)</f>
        <v>433</v>
      </c>
      <c r="C5" s="29">
        <f>('My trades'!H5-'My trades'!F5)*'My trades'!E5</f>
        <v>0.4542755046532776</v>
      </c>
    </row>
    <row r="6" spans="1:3" ht="14.4" thickTop="1" thickBot="1">
      <c r="A6" s="24" t="str">
        <f>'My trades'!A6</f>
        <v>mfdlyjqb</v>
      </c>
      <c r="B6" s="28">
        <f>_xlfn.DAYS('My trades'!G6, 'My trades'!D6)</f>
        <v>758</v>
      </c>
      <c r="C6" s="29">
        <f>('My trades'!H6-'My trades'!F6)*'My trades'!E6</f>
        <v>-0.44170898255380009</v>
      </c>
    </row>
    <row r="7" spans="1:3" ht="14.4" thickTop="1" thickBot="1">
      <c r="A7" s="24" t="str">
        <f>'My trades'!A7</f>
        <v>mjbwcafl</v>
      </c>
      <c r="B7" s="28">
        <f>_xlfn.DAYS('My trades'!G7, 'My trades'!D7)</f>
        <v>615</v>
      </c>
      <c r="C7" s="29">
        <f>('My trades'!H7-'My trades'!F7)*'My trades'!E7</f>
        <v>-1.493851455533969</v>
      </c>
    </row>
    <row r="8" spans="1:3" ht="14.4" thickTop="1" thickBot="1">
      <c r="A8" s="24" t="str">
        <f>'My trades'!A8</f>
        <v>mxpzparg</v>
      </c>
      <c r="B8" s="28">
        <f>_xlfn.DAYS('My trades'!G8, 'My trades'!D8)</f>
        <v>494</v>
      </c>
      <c r="C8" s="29">
        <f>('My trades'!H8-'My trades'!F8)*'My trades'!E8</f>
        <v>-2.7225392516182776</v>
      </c>
    </row>
    <row r="9" spans="1:3" ht="14.4" thickTop="1" thickBot="1">
      <c r="A9" s="24" t="str">
        <f>'My trades'!A9</f>
        <v>nklszbdc</v>
      </c>
      <c r="B9" s="28">
        <f>_xlfn.DAYS('My trades'!G9, 'My trades'!D9)</f>
        <v>392</v>
      </c>
      <c r="C9" s="29">
        <f>('My trades'!H9-'My trades'!F9)*'My trades'!E9</f>
        <v>-5.0818807518380593</v>
      </c>
    </row>
    <row r="10" spans="1:3" ht="14.4" thickTop="1" thickBot="1">
      <c r="A10" s="24" t="str">
        <f>'My trades'!A10</f>
        <v>pnsxdhqo</v>
      </c>
      <c r="B10" s="28">
        <f>_xlfn.DAYS('My trades'!G10, 'My trades'!D10)</f>
        <v>361</v>
      </c>
      <c r="C10" s="29">
        <f>('My trades'!H10-'My trades'!F10)*'My trades'!E10</f>
        <v>-0.14332616076687998</v>
      </c>
    </row>
    <row r="11" spans="1:3" ht="14.4" thickTop="1" thickBot="1">
      <c r="A11" s="24" t="str">
        <f>'My trades'!A11</f>
        <v>qexyofhb</v>
      </c>
      <c r="B11" s="28">
        <f>_xlfn.DAYS('My trades'!G11, 'My trades'!D11)</f>
        <v>152</v>
      </c>
      <c r="C11" s="29">
        <f>('My trades'!H11-'My trades'!F11)*'My trades'!E11</f>
        <v>-0.54187348945221592</v>
      </c>
    </row>
    <row r="12" spans="1:3" ht="14.4" thickTop="1" thickBot="1">
      <c r="A12" s="24" t="str">
        <f>'My trades'!A12</f>
        <v>qonnwndv</v>
      </c>
      <c r="B12" s="28">
        <f>_xlfn.DAYS('My trades'!G12, 'My trades'!D12)</f>
        <v>756</v>
      </c>
      <c r="C12" s="29">
        <f>('My trades'!H12-'My trades'!F12)*'My trades'!E12</f>
        <v>0.58689550890769993</v>
      </c>
    </row>
    <row r="13" spans="1:3" ht="14.4" thickTop="1" thickBot="1">
      <c r="A13" s="24" t="str">
        <f>'My trades'!A13</f>
        <v>twxakkhn</v>
      </c>
      <c r="B13" s="28">
        <f>_xlfn.DAYS('My trades'!G13, 'My trades'!D13)</f>
        <v>87</v>
      </c>
      <c r="C13" s="29">
        <f>('My trades'!H13-'My trades'!F13)*'My trades'!E13</f>
        <v>2.3327160226114847</v>
      </c>
    </row>
    <row r="14" spans="1:3" ht="14.4" thickTop="1" thickBot="1">
      <c r="A14" s="24" t="str">
        <f>'My trades'!A14</f>
        <v>txuwmhfn</v>
      </c>
      <c r="B14" s="28">
        <f>_xlfn.DAYS('My trades'!G14, 'My trades'!D14)</f>
        <v>379</v>
      </c>
      <c r="C14" s="29">
        <f>('My trades'!H14-'My trades'!F14)*'My trades'!E14</f>
        <v>-0.45102302077523904</v>
      </c>
    </row>
    <row r="15" spans="1:3" ht="14.4" thickTop="1" thickBot="1">
      <c r="A15" s="24" t="str">
        <f>'My trades'!A15</f>
        <v>uijhzhtp</v>
      </c>
      <c r="B15" s="28">
        <f>_xlfn.DAYS('My trades'!G15, 'My trades'!D15)</f>
        <v>141</v>
      </c>
      <c r="C15" s="29">
        <f>('My trades'!H15-'My trades'!F15)*'My trades'!E15</f>
        <v>-0.33733947132457798</v>
      </c>
    </row>
    <row r="16" spans="1:3" ht="14.4" thickTop="1" thickBot="1">
      <c r="A16" s="24" t="str">
        <f>'My trades'!A16</f>
        <v>wfglkcmq</v>
      </c>
      <c r="B16" s="28">
        <f>_xlfn.DAYS('My trades'!G16, 'My trades'!D16)</f>
        <v>143</v>
      </c>
      <c r="C16" s="29">
        <f>('My trades'!H16-'My trades'!F16)*'My trades'!E16</f>
        <v>0.44657128794339002</v>
      </c>
    </row>
    <row r="17" spans="1:3" ht="14.4" thickTop="1" thickBot="1">
      <c r="A17" s="24" t="str">
        <f>'My trades'!A17</f>
        <v>zlqfijoe</v>
      </c>
      <c r="B17" s="28">
        <f>_xlfn.DAYS('My trades'!G17, 'My trades'!D17)</f>
        <v>708</v>
      </c>
      <c r="C17" s="29">
        <f>('My trades'!H17-'My trades'!F17)*'My trades'!E17</f>
        <v>-6.5338594818558899</v>
      </c>
    </row>
    <row r="18" spans="1:3" ht="14.4" thickTop="1" thickBot="1">
      <c r="A18" s="24" t="str">
        <f>'My trades'!A18</f>
        <v>dieionnl</v>
      </c>
      <c r="B18" s="28">
        <f>_xlfn.DAYS('My trades'!G18, 'My trades'!D18)</f>
        <v>547</v>
      </c>
      <c r="C18" s="29">
        <f>('My trades'!H18-'My trades'!F18)*'My trades'!E18</f>
        <v>0.76109127749102012</v>
      </c>
    </row>
    <row r="19" spans="1:3" ht="14.4" thickTop="1" thickBot="1">
      <c r="A19" s="24" t="str">
        <f>'My trades'!A19</f>
        <v>dspetbsq</v>
      </c>
      <c r="B19" s="28">
        <f>_xlfn.DAYS('My trades'!G19, 'My trades'!D19)</f>
        <v>207</v>
      </c>
      <c r="C19" s="29">
        <f>('My trades'!H19-'My trades'!F19)*'My trades'!E19</f>
        <v>-5.4295326750647517</v>
      </c>
    </row>
    <row r="20" spans="1:3" ht="14.4" thickTop="1" thickBot="1">
      <c r="A20" s="24" t="str">
        <f>'My trades'!A20</f>
        <v>icbmbfqb</v>
      </c>
      <c r="B20" s="28">
        <f>_xlfn.DAYS('My trades'!G20, 'My trades'!D20)</f>
        <v>617</v>
      </c>
      <c r="C20" s="29">
        <f>('My trades'!H20-'My trades'!F20)*'My trades'!E20</f>
        <v>-4.9242570254792817</v>
      </c>
    </row>
    <row r="21" spans="1:3" ht="14.4" thickTop="1" thickBot="1">
      <c r="A21" s="24" t="str">
        <f>'My trades'!A21</f>
        <v>ivnpgban</v>
      </c>
      <c r="B21" s="28">
        <f>_xlfn.DAYS('My trades'!G21, 'My trades'!D21)</f>
        <v>257</v>
      </c>
      <c r="C21" s="29">
        <f>('My trades'!H21-'My trades'!F21)*'My trades'!E21</f>
        <v>-0.42779265355129403</v>
      </c>
    </row>
    <row r="22" spans="1:3" ht="14.4" thickTop="1" thickBot="1">
      <c r="A22" s="24" t="str">
        <f>'My trades'!A22</f>
        <v>jyrrbwon</v>
      </c>
      <c r="B22" s="28">
        <f>_xlfn.DAYS('My trades'!G22, 'My trades'!D22)</f>
        <v>294</v>
      </c>
      <c r="C22" s="29">
        <f>('My trades'!H22-'My trades'!F22)*'My trades'!E22</f>
        <v>-0.147372694291836</v>
      </c>
    </row>
    <row r="23" spans="1:3" ht="14.4" thickTop="1" thickBot="1">
      <c r="A23" s="24" t="str">
        <f>'My trades'!A23</f>
        <v>kltxxoqv</v>
      </c>
      <c r="B23" s="28">
        <f>_xlfn.DAYS('My trades'!G23, 'My trades'!D23)</f>
        <v>682</v>
      </c>
      <c r="C23" s="29">
        <f>('My trades'!H23-'My trades'!F23)*'My trades'!E23</f>
        <v>-2.6177536356825777</v>
      </c>
    </row>
    <row r="24" spans="1:3" ht="14.4" thickTop="1" thickBot="1">
      <c r="A24" s="24" t="str">
        <f>'My trades'!A24</f>
        <v>lpzjhtkm</v>
      </c>
      <c r="B24" s="28">
        <f>_xlfn.DAYS('My trades'!G24, 'My trades'!D24)</f>
        <v>436</v>
      </c>
      <c r="C24" s="29">
        <f>('My trades'!H24-'My trades'!F24)*'My trades'!E24</f>
        <v>1.7071996658142359</v>
      </c>
    </row>
    <row r="25" spans="1:3" ht="14.4" thickTop="1" thickBot="1">
      <c r="A25" s="24" t="str">
        <f>'My trades'!A25</f>
        <v>nuleyiit</v>
      </c>
      <c r="B25" s="28">
        <f>_xlfn.DAYS('My trades'!G25, 'My trades'!D25)</f>
        <v>126</v>
      </c>
      <c r="C25" s="29">
        <f>('My trades'!H25-'My trades'!F25)*'My trades'!E25</f>
        <v>2.067388635922967</v>
      </c>
    </row>
    <row r="26" spans="1:3" ht="14.4" thickTop="1" thickBot="1">
      <c r="A26" s="24" t="str">
        <f>'My trades'!A26</f>
        <v>ohtzxhrm</v>
      </c>
      <c r="B26" s="28">
        <f>_xlfn.DAYS('My trades'!G26, 'My trades'!D26)</f>
        <v>791</v>
      </c>
      <c r="C26" s="29">
        <f>('My trades'!H26-'My trades'!F26)*'My trades'!E26</f>
        <v>-3.196256783170444</v>
      </c>
    </row>
    <row r="27" spans="1:3" ht="14.4" thickTop="1" thickBot="1">
      <c r="A27" s="24" t="str">
        <f>'My trades'!A27</f>
        <v>oplgqwal</v>
      </c>
      <c r="B27" s="28">
        <f>_xlfn.DAYS('My trades'!G27, 'My trades'!D27)</f>
        <v>42</v>
      </c>
      <c r="C27" s="29">
        <f>('My trades'!H27-'My trades'!F27)*'My trades'!E27</f>
        <v>-6.4196120465471962</v>
      </c>
    </row>
    <row r="28" spans="1:3" ht="14.4" thickTop="1" thickBot="1">
      <c r="A28" s="24" t="str">
        <f>'My trades'!A28</f>
        <v>qhprzdnb</v>
      </c>
      <c r="B28" s="28">
        <f>_xlfn.DAYS('My trades'!G28, 'My trades'!D28)</f>
        <v>610</v>
      </c>
      <c r="C28" s="29">
        <f>('My trades'!H28-'My trades'!F28)*'My trades'!E28</f>
        <v>0.50582577866602796</v>
      </c>
    </row>
    <row r="29" spans="1:3" ht="14.4" thickTop="1" thickBot="1">
      <c r="A29" s="24" t="str">
        <f>'My trades'!A29</f>
        <v>ttxgpfqy</v>
      </c>
      <c r="B29" s="28">
        <f>_xlfn.DAYS('My trades'!G29, 'My trades'!D29)</f>
        <v>376</v>
      </c>
      <c r="C29" s="29">
        <f>('My trades'!H29-'My trades'!F29)*'My trades'!E29</f>
        <v>-1.2073753528529019E-2</v>
      </c>
    </row>
    <row r="30" spans="1:3" ht="14.4" thickTop="1" thickBot="1">
      <c r="A30" s="24" t="str">
        <f>'My trades'!A30</f>
        <v>vggvbbxh</v>
      </c>
      <c r="B30" s="28">
        <f>_xlfn.DAYS('My trades'!G30, 'My trades'!D30)</f>
        <v>695</v>
      </c>
      <c r="C30" s="29">
        <f>('My trades'!H30-'My trades'!F30)*'My trades'!E30</f>
        <v>-5.4307098540242036</v>
      </c>
    </row>
    <row r="31" spans="1:3" ht="14.4" thickTop="1" thickBot="1">
      <c r="A31" s="24" t="str">
        <f>'My trades'!A31</f>
        <v>zkxftiop</v>
      </c>
      <c r="B31" s="28">
        <f>_xlfn.DAYS('My trades'!G31, 'My trades'!D31)</f>
        <v>539</v>
      </c>
      <c r="C31" s="29">
        <f>('My trades'!H31-'My trades'!F31)*'My trades'!E31</f>
        <v>0.3873951776782758</v>
      </c>
    </row>
    <row r="32" spans="1:3" ht="14.4" thickTop="1" thickBot="1">
      <c r="A32" s="24" t="str">
        <f>'My trades'!A32</f>
        <v>zsbkamjf</v>
      </c>
      <c r="B32" s="28">
        <f>_xlfn.DAYS('My trades'!G32, 'My trades'!D32)</f>
        <v>159</v>
      </c>
      <c r="C32" s="29">
        <f>('My trades'!H32-'My trades'!F32)*'My trades'!E32</f>
        <v>1.4526226469951637</v>
      </c>
    </row>
    <row r="33" spans="1:13" ht="14.4" thickTop="1" thickBot="1">
      <c r="A33" s="24" t="str">
        <f>'My trades'!A33</f>
        <v>zvxjotpr</v>
      </c>
      <c r="B33" s="28">
        <f>_xlfn.DAYS('My trades'!G33, 'My trades'!D33)</f>
        <v>476</v>
      </c>
      <c r="C33" s="29">
        <f>('My trades'!H33-'My trades'!F33)*'My trades'!E33</f>
        <v>-6.204338418382064</v>
      </c>
    </row>
    <row r="34" spans="1:13" ht="14.4" thickTop="1" thickBot="1">
      <c r="A34" s="24" t="str">
        <f>'My trades'!A34</f>
        <v>bjfxoyxb</v>
      </c>
      <c r="B34" s="28">
        <f>_xlfn.DAYS('My trades'!G34, 'My trades'!D34)</f>
        <v>573</v>
      </c>
      <c r="C34" s="29">
        <f>('My trades'!H34-'My trades'!F34)*'My trades'!E34</f>
        <v>1.3264069051873706</v>
      </c>
    </row>
    <row r="35" spans="1:13" ht="14.4" customHeight="1" thickTop="1" thickBot="1">
      <c r="A35" s="24" t="str">
        <f>'My trades'!A35</f>
        <v>dpaxyvrx</v>
      </c>
      <c r="B35" s="28">
        <f>_xlfn.DAYS('My trades'!G35, 'My trades'!D35)</f>
        <v>51</v>
      </c>
      <c r="C35" s="29">
        <f>('My trades'!H35-'My trades'!F35)*'My trades'!E35</f>
        <v>-0.32528106858049388</v>
      </c>
      <c r="F35" s="37" t="s">
        <v>252</v>
      </c>
      <c r="G35" s="38"/>
      <c r="H35" s="38"/>
      <c r="I35" s="38"/>
      <c r="J35" s="38"/>
      <c r="K35" s="38"/>
      <c r="L35" s="38"/>
      <c r="M35" s="39"/>
    </row>
    <row r="36" spans="1:13" ht="14.4" thickTop="1" thickBot="1">
      <c r="A36" s="24" t="str">
        <f>'My trades'!A36</f>
        <v>hafqyymf</v>
      </c>
      <c r="B36" s="28">
        <f>_xlfn.DAYS('My trades'!G36, 'My trades'!D36)</f>
        <v>588</v>
      </c>
      <c r="C36" s="29">
        <f>('My trades'!H36-'My trades'!F36)*'My trades'!E36</f>
        <v>-3.32862008852215</v>
      </c>
      <c r="F36" s="40"/>
      <c r="G36" s="41"/>
      <c r="H36" s="41"/>
      <c r="I36" s="41"/>
      <c r="J36" s="41"/>
      <c r="K36" s="41"/>
      <c r="L36" s="41"/>
      <c r="M36" s="42"/>
    </row>
    <row r="37" spans="1:13" ht="14.4" thickTop="1" thickBot="1">
      <c r="A37" s="24" t="str">
        <f>'My trades'!A37</f>
        <v>mxmztjnk</v>
      </c>
      <c r="B37" s="28">
        <f>_xlfn.DAYS('My trades'!G37, 'My trades'!D37)</f>
        <v>57</v>
      </c>
      <c r="C37" s="29">
        <f>('My trades'!H37-'My trades'!F37)*'My trades'!E37</f>
        <v>1.1022958217852696</v>
      </c>
      <c r="F37" s="40"/>
      <c r="G37" s="41"/>
      <c r="H37" s="41"/>
      <c r="I37" s="41"/>
      <c r="J37" s="41"/>
      <c r="K37" s="41"/>
      <c r="L37" s="41"/>
      <c r="M37" s="42"/>
    </row>
    <row r="38" spans="1:13" ht="14.4" thickTop="1" thickBot="1">
      <c r="A38" s="24" t="str">
        <f>'My trades'!A38</f>
        <v>rkupdsbn</v>
      </c>
      <c r="B38" s="28">
        <f>_xlfn.DAYS('My trades'!G38, 'My trades'!D38)</f>
        <v>694</v>
      </c>
      <c r="C38" s="29">
        <f>('My trades'!H38-'My trades'!F38)*'My trades'!E38</f>
        <v>-0.22406139606151998</v>
      </c>
      <c r="F38" s="40"/>
      <c r="G38" s="41"/>
      <c r="H38" s="41"/>
      <c r="I38" s="41"/>
      <c r="J38" s="41"/>
      <c r="K38" s="41"/>
      <c r="L38" s="41"/>
      <c r="M38" s="42"/>
    </row>
    <row r="39" spans="1:13" ht="14.4" thickTop="1" thickBot="1">
      <c r="A39" s="24" t="str">
        <f>'My trades'!A39</f>
        <v>sgdkuekd</v>
      </c>
      <c r="B39" s="28">
        <f>_xlfn.DAYS('My trades'!G39, 'My trades'!D39)</f>
        <v>292</v>
      </c>
      <c r="C39" s="29">
        <f>('My trades'!H39-'My trades'!F39)*'My trades'!E39</f>
        <v>-2.7793845987997785</v>
      </c>
      <c r="F39" s="40"/>
      <c r="G39" s="41"/>
      <c r="H39" s="41"/>
      <c r="I39" s="41"/>
      <c r="J39" s="41"/>
      <c r="K39" s="41"/>
      <c r="L39" s="41"/>
      <c r="M39" s="42"/>
    </row>
    <row r="40" spans="1:13" ht="14.4" thickTop="1" thickBot="1">
      <c r="A40" s="24" t="str">
        <f>'My trades'!A40</f>
        <v>stsjuvrd</v>
      </c>
      <c r="B40" s="28">
        <f>_xlfn.DAYS('My trades'!G40, 'My trades'!D40)</f>
        <v>244</v>
      </c>
      <c r="C40" s="29">
        <f>('My trades'!H40-'My trades'!F40)*'My trades'!E40</f>
        <v>-2.0739923578695802</v>
      </c>
      <c r="F40" s="40"/>
      <c r="G40" s="41"/>
      <c r="H40" s="41"/>
      <c r="I40" s="41"/>
      <c r="J40" s="41"/>
      <c r="K40" s="41"/>
      <c r="L40" s="41"/>
      <c r="M40" s="42"/>
    </row>
    <row r="41" spans="1:13" ht="14.4" thickTop="1" thickBot="1">
      <c r="A41" s="24" t="str">
        <f>'My trades'!A41</f>
        <v>vajwbmmv</v>
      </c>
      <c r="B41" s="28">
        <f>_xlfn.DAYS('My trades'!G41, 'My trades'!D41)</f>
        <v>148</v>
      </c>
      <c r="C41" s="29">
        <f>('My trades'!H41-'My trades'!F41)*'My trades'!E41</f>
        <v>-0.28002138939231014</v>
      </c>
      <c r="F41" s="40"/>
      <c r="G41" s="41"/>
      <c r="H41" s="41"/>
      <c r="I41" s="41"/>
      <c r="J41" s="41"/>
      <c r="K41" s="41"/>
      <c r="L41" s="41"/>
      <c r="M41" s="42"/>
    </row>
    <row r="42" spans="1:13" ht="14.4" thickTop="1" thickBot="1">
      <c r="A42" s="24" t="str">
        <f>'My trades'!A42</f>
        <v>cntrbotn</v>
      </c>
      <c r="B42" s="28">
        <f>_xlfn.DAYS('My trades'!G42, 'My trades'!D42)</f>
        <v>623</v>
      </c>
      <c r="C42" s="29">
        <f>('My trades'!H42-'My trades'!F42)*'My trades'!E42</f>
        <v>0.44281898729743208</v>
      </c>
      <c r="F42" s="40"/>
      <c r="G42" s="41"/>
      <c r="H42" s="41"/>
      <c r="I42" s="41"/>
      <c r="J42" s="41"/>
      <c r="K42" s="41"/>
      <c r="L42" s="41"/>
      <c r="M42" s="42"/>
    </row>
    <row r="43" spans="1:13" ht="14.4" thickTop="1" thickBot="1">
      <c r="A43" s="24" t="str">
        <f>'My trades'!A43</f>
        <v>eodhevfz</v>
      </c>
      <c r="B43" s="28">
        <f>_xlfn.DAYS('My trades'!G43, 'My trades'!D43)</f>
        <v>795</v>
      </c>
      <c r="C43" s="29">
        <f>('My trades'!H43-'My trades'!F43)*'My trades'!E43</f>
        <v>5.8835676533436034</v>
      </c>
      <c r="F43" s="40"/>
      <c r="G43" s="41"/>
      <c r="H43" s="41"/>
      <c r="I43" s="41"/>
      <c r="J43" s="41"/>
      <c r="K43" s="41"/>
      <c r="L43" s="41"/>
      <c r="M43" s="42"/>
    </row>
    <row r="44" spans="1:13" ht="14.4" thickTop="1" thickBot="1">
      <c r="A44" s="24" t="str">
        <f>'My trades'!A44</f>
        <v>gnghjpok</v>
      </c>
      <c r="B44" s="28">
        <f>_xlfn.DAYS('My trades'!G44, 'My trades'!D44)</f>
        <v>707</v>
      </c>
      <c r="C44" s="29">
        <f>('My trades'!H44-'My trades'!F44)*'My trades'!E44</f>
        <v>-5.0188697949823471</v>
      </c>
      <c r="F44" s="43"/>
      <c r="G44" s="44"/>
      <c r="H44" s="44"/>
      <c r="I44" s="44"/>
      <c r="J44" s="44"/>
      <c r="K44" s="44"/>
      <c r="L44" s="44"/>
      <c r="M44" s="45"/>
    </row>
    <row r="45" spans="1:13" ht="14.4" thickTop="1" thickBot="1">
      <c r="A45" s="24" t="str">
        <f>'My trades'!A45</f>
        <v>hnmvqkxv</v>
      </c>
      <c r="B45" s="28">
        <f>_xlfn.DAYS('My trades'!G45, 'My trades'!D45)</f>
        <v>609</v>
      </c>
      <c r="C45" s="29">
        <f>('My trades'!H45-'My trades'!F45)*'My trades'!E45</f>
        <v>-2.660822045115486</v>
      </c>
    </row>
    <row r="46" spans="1:13" ht="14.4" thickTop="1" thickBot="1">
      <c r="A46" s="24" t="str">
        <f>'My trades'!A46</f>
        <v>ifskxsgr</v>
      </c>
      <c r="B46" s="28">
        <f>_xlfn.DAYS('My trades'!G46, 'My trades'!D46)</f>
        <v>355</v>
      </c>
      <c r="C46" s="29">
        <f>('My trades'!H46-'My trades'!F46)*'My trades'!E46</f>
        <v>-0.57038561737306004</v>
      </c>
    </row>
    <row r="47" spans="1:13" ht="14.4" thickTop="1" thickBot="1">
      <c r="A47" s="24" t="str">
        <f>'My trades'!A47</f>
        <v>kpoujdyl</v>
      </c>
      <c r="B47" s="28">
        <f>_xlfn.DAYS('My trades'!G47, 'My trades'!D47)</f>
        <v>351</v>
      </c>
      <c r="C47" s="29">
        <f>('My trades'!H47-'My trades'!F47)*'My trades'!E47</f>
        <v>0.12174590279516</v>
      </c>
    </row>
    <row r="48" spans="1:13" ht="14.4" thickTop="1" thickBot="1">
      <c r="A48" s="24" t="str">
        <f>'My trades'!A48</f>
        <v>tazccemg</v>
      </c>
      <c r="B48" s="28">
        <f>_xlfn.DAYS('My trades'!G48, 'My trades'!D48)</f>
        <v>806</v>
      </c>
      <c r="C48" s="29">
        <f>('My trades'!H48-'My trades'!F48)*'My trades'!E48</f>
        <v>-0.2484879527768751</v>
      </c>
    </row>
    <row r="49" spans="1:3" ht="14.4" thickTop="1" thickBot="1">
      <c r="A49" s="24" t="str">
        <f>'My trades'!A49</f>
        <v>tiebtpqq</v>
      </c>
      <c r="B49" s="28">
        <f>_xlfn.DAYS('My trades'!G49, 'My trades'!D49)</f>
        <v>566</v>
      </c>
      <c r="C49" s="29">
        <f>('My trades'!H49-'My trades'!F49)*'My trades'!E49</f>
        <v>0.67037100617501189</v>
      </c>
    </row>
    <row r="50" spans="1:3" ht="14.4" thickTop="1" thickBot="1">
      <c r="A50" s="24" t="str">
        <f>'My trades'!A50</f>
        <v>ucjtvrzo</v>
      </c>
      <c r="B50" s="28">
        <f>_xlfn.DAYS('My trades'!G50, 'My trades'!D50)</f>
        <v>319</v>
      </c>
      <c r="C50" s="29">
        <f>('My trades'!H50-'My trades'!F50)*'My trades'!E50</f>
        <v>3.0900493820769115</v>
      </c>
    </row>
    <row r="51" spans="1:3" ht="14.4" thickTop="1" thickBot="1">
      <c r="A51" s="24" t="str">
        <f>'My trades'!A51</f>
        <v>ueoaufxg</v>
      </c>
      <c r="B51" s="28">
        <f>_xlfn.DAYS('My trades'!G51, 'My trades'!D51)</f>
        <v>811</v>
      </c>
      <c r="C51" s="29">
        <f>('My trades'!H51-'My trades'!F51)*'My trades'!E51</f>
        <v>2.5055518026755124</v>
      </c>
    </row>
    <row r="52" spans="1:3" ht="14.4" thickTop="1" thickBot="1">
      <c r="A52" s="24" t="str">
        <f>'My trades'!A52</f>
        <v>uvenvheh</v>
      </c>
      <c r="B52" s="28">
        <f>_xlfn.DAYS('My trades'!G52, 'My trades'!D52)</f>
        <v>235</v>
      </c>
      <c r="C52" s="29">
        <f>('My trades'!H52-'My trades'!F52)*'My trades'!E52</f>
        <v>-0.92995958029629511</v>
      </c>
    </row>
    <row r="53" spans="1:3" ht="14.4" thickTop="1" thickBot="1">
      <c r="A53" s="24" t="str">
        <f>'My trades'!A53</f>
        <v>vnkvbrpg</v>
      </c>
      <c r="B53" s="28">
        <f>_xlfn.DAYS('My trades'!G53, 'My trades'!D53)</f>
        <v>213</v>
      </c>
      <c r="C53" s="29">
        <f>('My trades'!H53-'My trades'!F53)*'My trades'!E53</f>
        <v>3.034347410187225</v>
      </c>
    </row>
    <row r="54" spans="1:3" ht="14.4" thickTop="1" thickBot="1">
      <c r="A54" s="24" t="str">
        <f>'My trades'!A54</f>
        <v>wmesgogf</v>
      </c>
      <c r="B54" s="28">
        <f>_xlfn.DAYS('My trades'!G54, 'My trades'!D54)</f>
        <v>229</v>
      </c>
      <c r="C54" s="29">
        <f>('My trades'!H54-'My trades'!F54)*'My trades'!E54</f>
        <v>-1.0710616568015761</v>
      </c>
    </row>
    <row r="55" spans="1:3" ht="14.4" thickTop="1" thickBot="1">
      <c r="A55" s="24" t="str">
        <f>'My trades'!A55</f>
        <v>xgszegxx</v>
      </c>
      <c r="B55" s="28">
        <f>_xlfn.DAYS('My trades'!G55, 'My trades'!D55)</f>
        <v>795</v>
      </c>
      <c r="C55" s="29">
        <f>('My trades'!H55-'My trades'!F55)*'My trades'!E55</f>
        <v>0.58011727073419816</v>
      </c>
    </row>
    <row r="56" spans="1:3" ht="14.4" thickTop="1" thickBot="1">
      <c r="A56" s="24" t="str">
        <f>'My trades'!A56</f>
        <v>ywfotaaf</v>
      </c>
      <c r="B56" s="28">
        <f>_xlfn.DAYS('My trades'!G56, 'My trades'!D56)</f>
        <v>181</v>
      </c>
      <c r="C56" s="29">
        <f>('My trades'!H56-'My trades'!F56)*'My trades'!E56</f>
        <v>-0.66490583255463598</v>
      </c>
    </row>
    <row r="57" spans="1:3" ht="14.4" thickTop="1" thickBot="1">
      <c r="A57" s="24" t="str">
        <f>'My trades'!A57</f>
        <v>yyclexzy</v>
      </c>
      <c r="B57" s="28">
        <f>_xlfn.DAYS('My trades'!G57, 'My trades'!D57)</f>
        <v>552</v>
      </c>
      <c r="C57" s="29">
        <f>('My trades'!H57-'My trades'!F57)*'My trades'!E57</f>
        <v>0.27086608677204504</v>
      </c>
    </row>
    <row r="58" spans="1:3" ht="14.4" thickTop="1" thickBot="1">
      <c r="A58" s="24" t="str">
        <f>'My trades'!A58</f>
        <v>bcizkhng</v>
      </c>
      <c r="B58" s="28">
        <f>_xlfn.DAYS('My trades'!G58, 'My trades'!D58)</f>
        <v>440</v>
      </c>
      <c r="C58" s="29">
        <f>('My trades'!H58-'My trades'!F58)*'My trades'!E58</f>
        <v>0.67427563789571499</v>
      </c>
    </row>
    <row r="59" spans="1:3" ht="14.4" thickTop="1" thickBot="1">
      <c r="A59" s="24" t="str">
        <f>'My trades'!A59</f>
        <v>bpjmrhjo</v>
      </c>
      <c r="B59" s="28">
        <f>_xlfn.DAYS('My trades'!G59, 'My trades'!D59)</f>
        <v>400</v>
      </c>
      <c r="C59" s="29">
        <f>('My trades'!H59-'My trades'!F59)*'My trades'!E59</f>
        <v>1.0623777349169758</v>
      </c>
    </row>
    <row r="60" spans="1:3" ht="14.4" thickTop="1" thickBot="1">
      <c r="A60" s="24" t="str">
        <f>'My trades'!A60</f>
        <v>fjcdzhde</v>
      </c>
      <c r="B60" s="28">
        <f>_xlfn.DAYS('My trades'!G60, 'My trades'!D60)</f>
        <v>851</v>
      </c>
      <c r="C60" s="29">
        <f>('My trades'!H60-'My trades'!F60)*'My trades'!E60</f>
        <v>-1.4878863200993582</v>
      </c>
    </row>
    <row r="61" spans="1:3" ht="14.4" thickTop="1" thickBot="1">
      <c r="A61" s="24" t="str">
        <f>'My trades'!A61</f>
        <v>jvcllvko</v>
      </c>
      <c r="B61" s="28">
        <f>_xlfn.DAYS('My trades'!G61, 'My trades'!D61)</f>
        <v>310</v>
      </c>
      <c r="C61" s="29">
        <f>('My trades'!H61-'My trades'!F61)*'My trades'!E61</f>
        <v>-1.3307948236361038</v>
      </c>
    </row>
    <row r="62" spans="1:3" ht="14.4" thickTop="1" thickBot="1">
      <c r="A62" s="24" t="str">
        <f>'My trades'!A62</f>
        <v>kqbdcljv</v>
      </c>
      <c r="B62" s="28">
        <f>_xlfn.DAYS('My trades'!G62, 'My trades'!D62)</f>
        <v>212</v>
      </c>
      <c r="C62" s="29">
        <f>('My trades'!H62-'My trades'!F62)*'My trades'!E62</f>
        <v>1.3297794837764578</v>
      </c>
    </row>
    <row r="63" spans="1:3" ht="14.4" thickTop="1" thickBot="1">
      <c r="A63" s="24" t="str">
        <f>'My trades'!A63</f>
        <v>kwbxqlin</v>
      </c>
      <c r="B63" s="28">
        <f>_xlfn.DAYS('My trades'!G63, 'My trades'!D63)</f>
        <v>207</v>
      </c>
      <c r="C63" s="29">
        <f>('My trades'!H63-'My trades'!F63)*'My trades'!E63</f>
        <v>5.5166451515307351</v>
      </c>
    </row>
    <row r="64" spans="1:3" ht="14.4" thickTop="1" thickBot="1">
      <c r="A64" s="24" t="str">
        <f>'My trades'!A64</f>
        <v>lkxgzzvq</v>
      </c>
      <c r="B64" s="28">
        <f>_xlfn.DAYS('My trades'!G64, 'My trades'!D64)</f>
        <v>747</v>
      </c>
      <c r="C64" s="29">
        <f>('My trades'!H64-'My trades'!F64)*'My trades'!E64</f>
        <v>1.0089173340834001</v>
      </c>
    </row>
    <row r="65" spans="1:3" ht="14.4" thickTop="1" thickBot="1">
      <c r="A65" s="24" t="str">
        <f>'My trades'!A65</f>
        <v>mfwvjgje</v>
      </c>
      <c r="B65" s="28">
        <f>_xlfn.DAYS('My trades'!G65, 'My trades'!D65)</f>
        <v>780</v>
      </c>
      <c r="C65" s="29">
        <f>('My trades'!H65-'My trades'!F65)*'My trades'!E65</f>
        <v>-0.596471375813306</v>
      </c>
    </row>
    <row r="66" spans="1:3" ht="14.4" thickTop="1" thickBot="1">
      <c r="A66" s="24" t="str">
        <f>'My trades'!A66</f>
        <v>mghfyjbr</v>
      </c>
      <c r="B66" s="28">
        <f>_xlfn.DAYS('My trades'!G66, 'My trades'!D66)</f>
        <v>241</v>
      </c>
      <c r="C66" s="29">
        <f>('My trades'!H66-'My trades'!F66)*'My trades'!E66</f>
        <v>-1.5146400479562974</v>
      </c>
    </row>
    <row r="67" spans="1:3" ht="14.4" thickTop="1" thickBot="1">
      <c r="A67" s="24" t="str">
        <f>'My trades'!A67</f>
        <v>mjyuxzvj</v>
      </c>
      <c r="B67" s="28">
        <f>_xlfn.DAYS('My trades'!G67, 'My trades'!D67)</f>
        <v>576</v>
      </c>
      <c r="C67" s="29">
        <f>('My trades'!H67-'My trades'!F67)*'My trades'!E67</f>
        <v>0.151434489277396</v>
      </c>
    </row>
    <row r="68" spans="1:3" ht="14.4" thickTop="1" thickBot="1">
      <c r="A68" s="24" t="str">
        <f>'My trades'!A68</f>
        <v>ogszgnpm</v>
      </c>
      <c r="B68" s="28">
        <f>_xlfn.DAYS('My trades'!G68, 'My trades'!D68)</f>
        <v>242</v>
      </c>
      <c r="C68" s="29">
        <f>('My trades'!H68-'My trades'!F68)*'My trades'!E68</f>
        <v>0.18643050150905299</v>
      </c>
    </row>
    <row r="69" spans="1:3" ht="14.4" thickTop="1" thickBot="1">
      <c r="A69" s="24" t="str">
        <f>'My trades'!A69</f>
        <v>scoljxeg</v>
      </c>
      <c r="B69" s="28">
        <f>_xlfn.DAYS('My trades'!G69, 'My trades'!D69)</f>
        <v>581</v>
      </c>
      <c r="C69" s="29">
        <f>('My trades'!H69-'My trades'!F69)*'My trades'!E69</f>
        <v>5.4257262128768344</v>
      </c>
    </row>
    <row r="70" spans="1:3" ht="14.4" thickTop="1" thickBot="1">
      <c r="A70" s="24" t="str">
        <f>'My trades'!A70</f>
        <v>slqawwyu</v>
      </c>
      <c r="B70" s="28">
        <f>_xlfn.DAYS('My trades'!G70, 'My trades'!D70)</f>
        <v>539</v>
      </c>
      <c r="C70" s="29">
        <f>('My trades'!H70-'My trades'!F70)*'My trades'!E70</f>
        <v>0.50049929284137207</v>
      </c>
    </row>
    <row r="71" spans="1:3" ht="14.4" thickTop="1" thickBot="1">
      <c r="A71" s="24" t="str">
        <f>'My trades'!A71</f>
        <v>tgayvhvz</v>
      </c>
      <c r="B71" s="28">
        <f>_xlfn.DAYS('My trades'!G71, 'My trades'!D71)</f>
        <v>123</v>
      </c>
      <c r="C71" s="29">
        <f>('My trades'!H71-'My trades'!F71)*'My trades'!E71</f>
        <v>0.63398606507953736</v>
      </c>
    </row>
    <row r="72" spans="1:3" ht="14.4" thickTop="1" thickBot="1">
      <c r="A72" s="24" t="str">
        <f>'My trades'!A72</f>
        <v>vqkagvwm</v>
      </c>
      <c r="B72" s="28">
        <f>_xlfn.DAYS('My trades'!G72, 'My trades'!D72)</f>
        <v>459</v>
      </c>
      <c r="C72" s="29">
        <f>('My trades'!H72-'My trades'!F72)*'My trades'!E72</f>
        <v>7.1354277806178631E-2</v>
      </c>
    </row>
    <row r="73" spans="1:3" ht="14.4" thickTop="1" thickBot="1">
      <c r="A73" s="24" t="str">
        <f>'My trades'!A73</f>
        <v>xgimgqvp</v>
      </c>
      <c r="B73" s="28">
        <f>_xlfn.DAYS('My trades'!G73, 'My trades'!D73)</f>
        <v>172</v>
      </c>
      <c r="C73" s="29">
        <f>('My trades'!H73-'My trades'!F73)*'My trades'!E73</f>
        <v>-1.5256033160767555</v>
      </c>
    </row>
    <row r="74" spans="1:3" ht="14.4" thickTop="1" thickBot="1">
      <c r="A74" s="24" t="str">
        <f>'My trades'!A74</f>
        <v>brxwzrct</v>
      </c>
      <c r="B74" s="28">
        <f>_xlfn.DAYS('My trades'!G74, 'My trades'!D74)</f>
        <v>589</v>
      </c>
      <c r="C74" s="29">
        <f>('My trades'!H74-'My trades'!F74)*'My trades'!E74</f>
        <v>0.47934230714693549</v>
      </c>
    </row>
    <row r="75" spans="1:3" ht="14.4" thickTop="1" thickBot="1">
      <c r="A75" s="24" t="str">
        <f>'My trades'!A75</f>
        <v>ekteqlhb</v>
      </c>
      <c r="B75" s="28">
        <f>_xlfn.DAYS('My trades'!G75, 'My trades'!D75)</f>
        <v>686</v>
      </c>
      <c r="C75" s="29">
        <f>('My trades'!H75-'My trades'!F75)*'My trades'!E75</f>
        <v>0.15328853698608502</v>
      </c>
    </row>
    <row r="76" spans="1:3" ht="14.4" thickTop="1" thickBot="1">
      <c r="A76" s="24" t="str">
        <f>'My trades'!A76</f>
        <v>fenldjbq</v>
      </c>
      <c r="B76" s="28">
        <f>_xlfn.DAYS('My trades'!G76, 'My trades'!D76)</f>
        <v>607</v>
      </c>
      <c r="C76" s="29">
        <f>('My trades'!H76-'My trades'!F76)*'My trades'!E76</f>
        <v>-2.7592838303516798</v>
      </c>
    </row>
    <row r="77" spans="1:3" ht="14.4" thickTop="1" thickBot="1">
      <c r="A77" s="24" t="str">
        <f>'My trades'!A77</f>
        <v>fkgjitio</v>
      </c>
      <c r="B77" s="28">
        <f>_xlfn.DAYS('My trades'!G77, 'My trades'!D77)</f>
        <v>448</v>
      </c>
      <c r="C77" s="29">
        <f>('My trades'!H77-'My trades'!F77)*'My trades'!E77</f>
        <v>-2.2252395811399799</v>
      </c>
    </row>
    <row r="78" spans="1:3" ht="14.4" thickTop="1" thickBot="1">
      <c r="A78" s="24" t="str">
        <f>'My trades'!A78</f>
        <v>goxmkirb</v>
      </c>
      <c r="B78" s="28">
        <f>_xlfn.DAYS('My trades'!G78, 'My trades'!D78)</f>
        <v>730</v>
      </c>
      <c r="C78" s="29">
        <f>('My trades'!H78-'My trades'!F78)*'My trades'!E78</f>
        <v>-0.35893634273319763</v>
      </c>
    </row>
    <row r="79" spans="1:3" ht="14.4" thickTop="1" thickBot="1">
      <c r="A79" s="24" t="str">
        <f>'My trades'!A79</f>
        <v>hpvfzslv</v>
      </c>
      <c r="B79" s="28">
        <f>_xlfn.DAYS('My trades'!G79, 'My trades'!D79)</f>
        <v>30</v>
      </c>
      <c r="C79" s="29">
        <f>('My trades'!H79-'My trades'!F79)*'My trades'!E79</f>
        <v>1.1391515254013935</v>
      </c>
    </row>
    <row r="80" spans="1:3" ht="14.4" thickTop="1" thickBot="1">
      <c r="A80" s="24" t="str">
        <f>'My trades'!A80</f>
        <v>icgddrqk</v>
      </c>
      <c r="B80" s="28">
        <f>_xlfn.DAYS('My trades'!G80, 'My trades'!D80)</f>
        <v>281</v>
      </c>
      <c r="C80" s="29">
        <f>('My trades'!H80-'My trades'!F80)*'My trades'!E80</f>
        <v>0.56354077591473983</v>
      </c>
    </row>
    <row r="81" spans="1:3" ht="14.4" thickTop="1" thickBot="1">
      <c r="A81" s="24" t="str">
        <f>'My trades'!A81</f>
        <v>kdxpqsjj</v>
      </c>
      <c r="B81" s="28">
        <f>_xlfn.DAYS('My trades'!G81, 'My trades'!D81)</f>
        <v>568</v>
      </c>
      <c r="C81" s="29">
        <f>('My trades'!H81-'My trades'!F81)*'My trades'!E81</f>
        <v>-1.6126856601637303</v>
      </c>
    </row>
    <row r="82" spans="1:3" ht="14.4" thickTop="1" thickBot="1">
      <c r="A82" s="24" t="str">
        <f>'My trades'!A82</f>
        <v>ldjllwvy</v>
      </c>
      <c r="B82" s="28">
        <f>_xlfn.DAYS('My trades'!G82, 'My trades'!D82)</f>
        <v>728</v>
      </c>
      <c r="C82" s="29">
        <f>('My trades'!H82-'My trades'!F82)*'My trades'!E82</f>
        <v>-0.57964845503028029</v>
      </c>
    </row>
    <row r="83" spans="1:3" ht="14.4" thickTop="1" thickBot="1">
      <c r="A83" s="24" t="str">
        <f>'My trades'!A83</f>
        <v>pysaclod</v>
      </c>
      <c r="B83" s="28">
        <f>_xlfn.DAYS('My trades'!G83, 'My trades'!D83)</f>
        <v>604</v>
      </c>
      <c r="C83" s="29">
        <f>('My trades'!H83-'My trades'!F83)*'My trades'!E83</f>
        <v>-2.5501255421604032</v>
      </c>
    </row>
    <row r="84" spans="1:3" ht="14.4" thickTop="1" thickBot="1">
      <c r="A84" s="24" t="str">
        <f>'My trades'!A84</f>
        <v>rxbzlipl</v>
      </c>
      <c r="B84" s="28">
        <f>_xlfn.DAYS('My trades'!G84, 'My trades'!D84)</f>
        <v>301</v>
      </c>
      <c r="C84" s="29">
        <f>('My trades'!H84-'My trades'!F84)*'My trades'!E84</f>
        <v>-0.57815918275795197</v>
      </c>
    </row>
    <row r="85" spans="1:3" ht="14.4" thickTop="1" thickBot="1">
      <c r="A85" s="24" t="str">
        <f>'My trades'!A85</f>
        <v>seaeoiib</v>
      </c>
      <c r="B85" s="28">
        <f>_xlfn.DAYS('My trades'!G85, 'My trades'!D85)</f>
        <v>169</v>
      </c>
      <c r="C85" s="29">
        <f>('My trades'!H85-'My trades'!F85)*'My trades'!E85</f>
        <v>-1.3524579839278259</v>
      </c>
    </row>
    <row r="86" spans="1:3" ht="14.4" thickTop="1" thickBot="1">
      <c r="A86" s="24" t="str">
        <f>'My trades'!A86</f>
        <v>tyoavqhc</v>
      </c>
      <c r="B86" s="28">
        <f>_xlfn.DAYS('My trades'!G86, 'My trades'!D86)</f>
        <v>701</v>
      </c>
      <c r="C86" s="29">
        <f>('My trades'!H86-'My trades'!F86)*'My trades'!E86</f>
        <v>0.13450365868527592</v>
      </c>
    </row>
    <row r="87" spans="1:3" ht="14.4" thickTop="1" thickBot="1">
      <c r="A87" s="24" t="str">
        <f>'My trades'!A87</f>
        <v>ugegxjpi</v>
      </c>
      <c r="B87" s="28">
        <f>_xlfn.DAYS('My trades'!G87, 'My trades'!D87)</f>
        <v>420</v>
      </c>
      <c r="C87" s="29">
        <f>('My trades'!H87-'My trades'!F87)*'My trades'!E87</f>
        <v>0.44627863636776588</v>
      </c>
    </row>
    <row r="88" spans="1:3" ht="14.4" thickTop="1" thickBot="1">
      <c r="A88" s="24" t="str">
        <f>'My trades'!A88</f>
        <v>xgxazdwr</v>
      </c>
      <c r="B88" s="28">
        <f>_xlfn.DAYS('My trades'!G88, 'My trades'!D88)</f>
        <v>490</v>
      </c>
      <c r="C88" s="29">
        <f>('My trades'!H88-'My trades'!F88)*'My trades'!E88</f>
        <v>0.86283924251520117</v>
      </c>
    </row>
    <row r="89" spans="1:3" ht="14.4" thickTop="1" thickBot="1">
      <c r="A89" s="24" t="str">
        <f>'My trades'!A89</f>
        <v>ypdwpcvo</v>
      </c>
      <c r="B89" s="28">
        <f>_xlfn.DAYS('My trades'!G89, 'My trades'!D89)</f>
        <v>342</v>
      </c>
      <c r="C89" s="29">
        <f>('My trades'!H89-'My trades'!F89)*'My trades'!E89</f>
        <v>0.19416143448368101</v>
      </c>
    </row>
    <row r="90" spans="1:3" ht="14.4" thickTop="1" thickBot="1">
      <c r="A90" s="24" t="str">
        <f>'My trades'!A90</f>
        <v>cnitsbpk</v>
      </c>
      <c r="B90" s="28">
        <f>_xlfn.DAYS('My trades'!G90, 'My trades'!D90)</f>
        <v>762</v>
      </c>
      <c r="C90" s="29">
        <f>('My trades'!H90-'My trades'!F90)*'My trades'!E90</f>
        <v>-0.17044592791049001</v>
      </c>
    </row>
    <row r="91" spans="1:3" ht="14.4" thickTop="1" thickBot="1">
      <c r="A91" s="24" t="str">
        <f>'My trades'!A91</f>
        <v>gsarsxnf</v>
      </c>
      <c r="B91" s="28">
        <f>_xlfn.DAYS('My trades'!G91, 'My trades'!D91)</f>
        <v>326</v>
      </c>
      <c r="C91" s="29">
        <f>('My trades'!H91-'My trades'!F91)*'My trades'!E91</f>
        <v>-6.5528850516359043</v>
      </c>
    </row>
    <row r="92" spans="1:3" ht="14.4" thickTop="1" thickBot="1">
      <c r="A92" s="24" t="str">
        <f>'My trades'!A92</f>
        <v>jszxcuxx</v>
      </c>
      <c r="B92" s="28">
        <f>_xlfn.DAYS('My trades'!G92, 'My trades'!D92)</f>
        <v>244</v>
      </c>
      <c r="C92" s="29">
        <f>('My trades'!H92-'My trades'!F92)*'My trades'!E92</f>
        <v>6.7107767243110796</v>
      </c>
    </row>
    <row r="93" spans="1:3" ht="14.4" thickTop="1" thickBot="1">
      <c r="A93" s="24" t="str">
        <f>'My trades'!A93</f>
        <v>nzyednpn</v>
      </c>
      <c r="B93" s="28">
        <f>_xlfn.DAYS('My trades'!G93, 'My trades'!D93)</f>
        <v>163</v>
      </c>
      <c r="C93" s="29">
        <f>('My trades'!H93-'My trades'!F93)*'My trades'!E93</f>
        <v>4.3623326726628289</v>
      </c>
    </row>
    <row r="94" spans="1:3" ht="14.4" thickTop="1" thickBot="1">
      <c r="A94" s="24" t="str">
        <f>'My trades'!A94</f>
        <v>pxzcvvvv</v>
      </c>
      <c r="B94" s="28">
        <f>_xlfn.DAYS('My trades'!G94, 'My trades'!D94)</f>
        <v>248</v>
      </c>
      <c r="C94" s="29">
        <f>('My trades'!H94-'My trades'!F94)*'My trades'!E94</f>
        <v>1.3697860970959921</v>
      </c>
    </row>
    <row r="95" spans="1:3" ht="14.4" thickTop="1" thickBot="1">
      <c r="A95" s="24" t="str">
        <f>'My trades'!A95</f>
        <v>qklyndfp</v>
      </c>
      <c r="B95" s="28">
        <f>_xlfn.DAYS('My trades'!G95, 'My trades'!D95)</f>
        <v>406</v>
      </c>
      <c r="C95" s="29">
        <f>('My trades'!H95-'My trades'!F95)*'My trades'!E95</f>
        <v>-0.99109056785185001</v>
      </c>
    </row>
    <row r="96" spans="1:3" ht="14.4" thickTop="1" thickBot="1">
      <c r="A96" s="24" t="str">
        <f>'My trades'!A96</f>
        <v>ysndnwiy</v>
      </c>
      <c r="B96" s="28">
        <f>_xlfn.DAYS('My trades'!G96, 'My trades'!D96)</f>
        <v>369</v>
      </c>
      <c r="C96" s="29">
        <f>('My trades'!H96-'My trades'!F96)*'My trades'!E96</f>
        <v>1.9271956549415645</v>
      </c>
    </row>
    <row r="97" spans="1:3" ht="14.4" thickTop="1" thickBot="1">
      <c r="A97" s="24" t="str">
        <f>'My trades'!A97</f>
        <v>zrgkwdyf</v>
      </c>
      <c r="B97" s="28">
        <f>_xlfn.DAYS('My trades'!G97, 'My trades'!D97)</f>
        <v>593</v>
      </c>
      <c r="C97" s="29">
        <f>('My trades'!H97-'My trades'!F97)*'My trades'!E97</f>
        <v>-4.2252865132784978E-2</v>
      </c>
    </row>
    <row r="98" spans="1:3" ht="14.4" thickTop="1" thickBot="1">
      <c r="A98" s="24" t="str">
        <f>'My trades'!A98</f>
        <v>agfgcfxt</v>
      </c>
      <c r="B98" s="28">
        <f>_xlfn.DAYS('My trades'!G98, 'My trades'!D98)</f>
        <v>251</v>
      </c>
      <c r="C98" s="29">
        <f>('My trades'!H98-'My trades'!F98)*'My trades'!E98</f>
        <v>1.917610405077395</v>
      </c>
    </row>
    <row r="99" spans="1:3" ht="14.4" thickTop="1" thickBot="1">
      <c r="A99" s="24" t="str">
        <f>'My trades'!A99</f>
        <v>almuieaq</v>
      </c>
      <c r="B99" s="28">
        <f>_xlfn.DAYS('My trades'!G99, 'My trades'!D99)</f>
        <v>449</v>
      </c>
      <c r="C99" s="29">
        <f>('My trades'!H99-'My trades'!F99)*'My trades'!E99</f>
        <v>-1.5501903178054743</v>
      </c>
    </row>
    <row r="100" spans="1:3" ht="14.4" thickTop="1" thickBot="1">
      <c r="A100" s="24" t="str">
        <f>'My trades'!A100</f>
        <v>bbjeprsq</v>
      </c>
      <c r="B100" s="28">
        <f>_xlfn.DAYS('My trades'!G100, 'My trades'!D100)</f>
        <v>626</v>
      </c>
      <c r="C100" s="29">
        <f>('My trades'!H100-'My trades'!F100)*'My trades'!E100</f>
        <v>-3.1851052688947403</v>
      </c>
    </row>
    <row r="101" spans="1:3" ht="14.4" thickTop="1" thickBot="1">
      <c r="A101" s="24" t="str">
        <f>'My trades'!A101</f>
        <v>bumcnvke</v>
      </c>
      <c r="B101" s="28">
        <f>_xlfn.DAYS('My trades'!G101, 'My trades'!D101)</f>
        <v>488</v>
      </c>
      <c r="C101" s="29">
        <f>('My trades'!H101-'My trades'!F101)*'My trades'!E101</f>
        <v>1.3598595032375105</v>
      </c>
    </row>
    <row r="102" spans="1:3" ht="14.4" thickTop="1" thickBot="1">
      <c r="A102" s="24" t="str">
        <f>'My trades'!A102</f>
        <v>cesjzpbs</v>
      </c>
      <c r="B102" s="28">
        <f>_xlfn.DAYS('My trades'!G102, 'My trades'!D102)</f>
        <v>109</v>
      </c>
      <c r="C102" s="29">
        <f>('My trades'!H102-'My trades'!F102)*'My trades'!E102</f>
        <v>2.9151706939834798</v>
      </c>
    </row>
    <row r="103" spans="1:3" ht="14.4" thickTop="1" thickBot="1">
      <c r="A103" s="24" t="str">
        <f>'My trades'!A103</f>
        <v>cwuqczya</v>
      </c>
      <c r="B103" s="28">
        <f>_xlfn.DAYS('My trades'!G103, 'My trades'!D103)</f>
        <v>862</v>
      </c>
      <c r="C103" s="29">
        <f>('My trades'!H103-'My trades'!F103)*'My trades'!E103</f>
        <v>0.29609314466304898</v>
      </c>
    </row>
    <row r="104" spans="1:3" ht="14.4" thickTop="1" thickBot="1">
      <c r="A104" s="24" t="str">
        <f>'My trades'!A104</f>
        <v>dcplrgaa</v>
      </c>
      <c r="B104" s="28">
        <f>_xlfn.DAYS('My trades'!G104, 'My trades'!D104)</f>
        <v>708</v>
      </c>
      <c r="C104" s="29">
        <f>('My trades'!H104-'My trades'!F104)*'My trades'!E104</f>
        <v>-2.5885468441152</v>
      </c>
    </row>
    <row r="105" spans="1:3" ht="14.4" thickTop="1" thickBot="1">
      <c r="A105" s="24" t="str">
        <f>'My trades'!A105</f>
        <v>egvfikiy</v>
      </c>
      <c r="B105" s="28">
        <f>_xlfn.DAYS('My trades'!G105, 'My trades'!D105)</f>
        <v>557</v>
      </c>
      <c r="C105" s="29">
        <f>('My trades'!H105-'My trades'!F105)*'My trades'!E105</f>
        <v>-7.6959515288168023E-2</v>
      </c>
    </row>
    <row r="106" spans="1:3" ht="14.4" thickTop="1" thickBot="1">
      <c r="A106" s="24" t="str">
        <f>'My trades'!A106</f>
        <v>eknpqcge</v>
      </c>
      <c r="B106" s="28">
        <f>_xlfn.DAYS('My trades'!G106, 'My trades'!D106)</f>
        <v>513</v>
      </c>
      <c r="C106" s="29">
        <f>('My trades'!H106-'My trades'!F106)*'My trades'!E106</f>
        <v>2.432401333318098</v>
      </c>
    </row>
    <row r="107" spans="1:3" ht="14.4" thickTop="1" thickBot="1">
      <c r="A107" s="24" t="str">
        <f>'My trades'!A107</f>
        <v>giuqiukz</v>
      </c>
      <c r="B107" s="28">
        <f>_xlfn.DAYS('My trades'!G107, 'My trades'!D107)</f>
        <v>227</v>
      </c>
      <c r="C107" s="29">
        <f>('My trades'!H107-'My trades'!F107)*'My trades'!E107</f>
        <v>-0.55470984456488792</v>
      </c>
    </row>
    <row r="108" spans="1:3" ht="14.4" thickTop="1" thickBot="1">
      <c r="A108" s="24" t="str">
        <f>'My trades'!A108</f>
        <v>jarhgmub</v>
      </c>
      <c r="B108" s="28">
        <f>_xlfn.DAYS('My trades'!G108, 'My trades'!D108)</f>
        <v>88</v>
      </c>
      <c r="C108" s="29">
        <f>('My trades'!H108-'My trades'!F108)*'My trades'!E108</f>
        <v>0.4358493707488762</v>
      </c>
    </row>
    <row r="109" spans="1:3" ht="14.4" thickTop="1" thickBot="1">
      <c r="A109" s="24" t="str">
        <f>'My trades'!A109</f>
        <v>kcqqvvon</v>
      </c>
      <c r="B109" s="28">
        <f>_xlfn.DAYS('My trades'!G109, 'My trades'!D109)</f>
        <v>229</v>
      </c>
      <c r="C109" s="29">
        <f>('My trades'!H109-'My trades'!F109)*'My trades'!E109</f>
        <v>-2.1369087276919081</v>
      </c>
    </row>
    <row r="110" spans="1:3" ht="14.4" thickTop="1" thickBot="1">
      <c r="A110" s="24" t="str">
        <f>'My trades'!A110</f>
        <v>knifvikn</v>
      </c>
      <c r="B110" s="28">
        <f>_xlfn.DAYS('My trades'!G110, 'My trades'!D110)</f>
        <v>714</v>
      </c>
      <c r="C110" s="29">
        <f>('My trades'!H110-'My trades'!F110)*'My trades'!E110</f>
        <v>0.62501571139692591</v>
      </c>
    </row>
    <row r="111" spans="1:3" ht="14.4" thickTop="1" thickBot="1">
      <c r="A111" s="24" t="str">
        <f>'My trades'!A111</f>
        <v>lenpuaop</v>
      </c>
      <c r="B111" s="28">
        <f>_xlfn.DAYS('My trades'!G111, 'My trades'!D111)</f>
        <v>771</v>
      </c>
      <c r="C111" s="29">
        <f>('My trades'!H111-'My trades'!F111)*'My trades'!E111</f>
        <v>0.8764495480595611</v>
      </c>
    </row>
    <row r="112" spans="1:3" ht="14.4" thickTop="1" thickBot="1">
      <c r="A112" s="24" t="str">
        <f>'My trades'!A112</f>
        <v>loffykcg</v>
      </c>
      <c r="B112" s="28">
        <f>_xlfn.DAYS('My trades'!G112, 'My trades'!D112)</f>
        <v>751</v>
      </c>
      <c r="C112" s="29">
        <f>('My trades'!H112-'My trades'!F112)*'My trades'!E112</f>
        <v>-0.89242284784400605</v>
      </c>
    </row>
    <row r="113" spans="1:3" ht="14.4" thickTop="1" thickBot="1">
      <c r="A113" s="24" t="str">
        <f>'My trades'!A113</f>
        <v>mkxkerbr</v>
      </c>
      <c r="B113" s="28">
        <f>_xlfn.DAYS('My trades'!G113, 'My trades'!D113)</f>
        <v>418</v>
      </c>
      <c r="C113" s="29">
        <f>('My trades'!H113-'My trades'!F113)*'My trades'!E113</f>
        <v>-4.8620707049910061E-2</v>
      </c>
    </row>
    <row r="114" spans="1:3" ht="14.4" thickTop="1" thickBot="1">
      <c r="A114" s="24" t="str">
        <f>'My trades'!A114</f>
        <v>pswtoazn</v>
      </c>
      <c r="B114" s="28">
        <f>_xlfn.DAYS('My trades'!G114, 'My trades'!D114)</f>
        <v>184</v>
      </c>
      <c r="C114" s="29">
        <f>('My trades'!H114-'My trades'!F114)*'My trades'!E114</f>
        <v>-0.62322748967309327</v>
      </c>
    </row>
    <row r="115" spans="1:3" ht="14.4" thickTop="1" thickBot="1">
      <c r="A115" s="24" t="str">
        <f>'My trades'!A115</f>
        <v>pxkjcmpp</v>
      </c>
      <c r="B115" s="28">
        <f>_xlfn.DAYS('My trades'!G115, 'My trades'!D115)</f>
        <v>445</v>
      </c>
      <c r="C115" s="29">
        <f>('My trades'!H115-'My trades'!F115)*'My trades'!E115</f>
        <v>1.046745383891124</v>
      </c>
    </row>
    <row r="116" spans="1:3" ht="14.4" thickTop="1" thickBot="1">
      <c r="A116" s="24" t="str">
        <f>'My trades'!A116</f>
        <v>rcmrnpig</v>
      </c>
      <c r="B116" s="28">
        <f>_xlfn.DAYS('My trades'!G116, 'My trades'!D116)</f>
        <v>818</v>
      </c>
      <c r="C116" s="29">
        <f>('My trades'!H116-'My trades'!F116)*'My trades'!E116</f>
        <v>7.1721763351570438</v>
      </c>
    </row>
    <row r="117" spans="1:3" ht="14.4" thickTop="1" thickBot="1">
      <c r="A117" s="24" t="str">
        <f>'My trades'!A117</f>
        <v>uiytklhp</v>
      </c>
      <c r="B117" s="28">
        <f>_xlfn.DAYS('My trades'!G117, 'My trades'!D117)</f>
        <v>443</v>
      </c>
      <c r="C117" s="29">
        <f>('My trades'!H117-'My trades'!F117)*'My trades'!E117</f>
        <v>0.63835945992036414</v>
      </c>
    </row>
    <row r="118" spans="1:3" ht="14.4" thickTop="1" thickBot="1">
      <c r="A118" s="24" t="str">
        <f>'My trades'!A118</f>
        <v>umdvcmek</v>
      </c>
      <c r="B118" s="28">
        <f>_xlfn.DAYS('My trades'!G118, 'My trades'!D118)</f>
        <v>404</v>
      </c>
      <c r="C118" s="29">
        <f>('My trades'!H118-'My trades'!F118)*'My trades'!E118</f>
        <v>-0.12334829544298809</v>
      </c>
    </row>
    <row r="119" spans="1:3" ht="14.4" thickTop="1" thickBot="1">
      <c r="A119" s="24" t="str">
        <f>'My trades'!A119</f>
        <v>vjtxbscg</v>
      </c>
      <c r="B119" s="28">
        <f>_xlfn.DAYS('My trades'!G119, 'My trades'!D119)</f>
        <v>358</v>
      </c>
      <c r="C119" s="29">
        <f>('My trades'!H119-'My trades'!F119)*'My trades'!E119</f>
        <v>1.7732877280659309E-2</v>
      </c>
    </row>
    <row r="120" spans="1:3" ht="14.4" thickTop="1" thickBot="1">
      <c r="A120" s="24" t="str">
        <f>'My trades'!A120</f>
        <v>yjrqvwdc</v>
      </c>
      <c r="B120" s="28">
        <f>_xlfn.DAYS('My trades'!G120, 'My trades'!D120)</f>
        <v>80</v>
      </c>
      <c r="C120" s="29">
        <f>('My trades'!H120-'My trades'!F120)*'My trades'!E120</f>
        <v>-0.13532525139256799</v>
      </c>
    </row>
    <row r="121" spans="1:3" ht="14.4" thickTop="1" thickBot="1">
      <c r="A121" s="24" t="str">
        <f>'My trades'!A121</f>
        <v>yrvvdedn</v>
      </c>
      <c r="B121" s="28">
        <f>_xlfn.DAYS('My trades'!G121, 'My trades'!D121)</f>
        <v>752</v>
      </c>
      <c r="C121" s="29">
        <f>('My trades'!H121-'My trades'!F121)*'My trades'!E121</f>
        <v>0.41722476579256806</v>
      </c>
    </row>
    <row r="122" spans="1:3" ht="14.4" thickTop="1" thickBot="1">
      <c r="A122" s="24" t="str">
        <f>'My trades'!A122</f>
        <v>aieoltom</v>
      </c>
      <c r="B122" s="28">
        <f>_xlfn.DAYS('My trades'!G122, 'My trades'!D122)</f>
        <v>839</v>
      </c>
      <c r="C122" s="29">
        <f>('My trades'!H122-'My trades'!F122)*'My trades'!E122</f>
        <v>0.49681701762970598</v>
      </c>
    </row>
    <row r="123" spans="1:3" ht="14.4" thickTop="1" thickBot="1">
      <c r="A123" s="24" t="str">
        <f>'My trades'!A123</f>
        <v>fucpzbpk</v>
      </c>
      <c r="B123" s="28">
        <f>_xlfn.DAYS('My trades'!G123, 'My trades'!D123)</f>
        <v>71</v>
      </c>
      <c r="C123" s="29">
        <f>('My trades'!H123-'My trades'!F123)*'My trades'!E123</f>
        <v>-1.6706742578156639</v>
      </c>
    </row>
    <row r="124" spans="1:3" ht="14.4" thickTop="1" thickBot="1">
      <c r="A124" s="24" t="str">
        <f>'My trades'!A124</f>
        <v>gcndrwci</v>
      </c>
      <c r="B124" s="28">
        <f>_xlfn.DAYS('My trades'!G124, 'My trades'!D124)</f>
        <v>106</v>
      </c>
      <c r="C124" s="29">
        <f>('My trades'!H124-'My trades'!F124)*'My trades'!E124</f>
        <v>1.7198007376601101</v>
      </c>
    </row>
    <row r="125" spans="1:3" ht="14.4" thickTop="1" thickBot="1">
      <c r="A125" s="24" t="str">
        <f>'My trades'!A125</f>
        <v>iagrfath</v>
      </c>
      <c r="B125" s="28">
        <f>_xlfn.DAYS('My trades'!G125, 'My trades'!D125)</f>
        <v>181</v>
      </c>
      <c r="C125" s="29">
        <f>('My trades'!H125-'My trades'!F125)*'My trades'!E125</f>
        <v>0.4006979438649676</v>
      </c>
    </row>
    <row r="126" spans="1:3" ht="14.4" thickTop="1" thickBot="1">
      <c r="A126" s="24" t="str">
        <f>'My trades'!A126</f>
        <v>orgnwenh</v>
      </c>
      <c r="B126" s="28">
        <f>_xlfn.DAYS('My trades'!G126, 'My trades'!D126)</f>
        <v>375</v>
      </c>
      <c r="C126" s="29">
        <f>('My trades'!H126-'My trades'!F126)*'My trades'!E126</f>
        <v>0.51729142881164603</v>
      </c>
    </row>
    <row r="127" spans="1:3" ht="14.4" thickTop="1" thickBot="1">
      <c r="A127" s="24" t="str">
        <f>'My trades'!A127</f>
        <v>qdqbwhng</v>
      </c>
      <c r="B127" s="28">
        <f>_xlfn.DAYS('My trades'!G127, 'My trades'!D127)</f>
        <v>741</v>
      </c>
      <c r="C127" s="29">
        <f>('My trades'!H127-'My trades'!F127)*'My trades'!E127</f>
        <v>2.6392607993331589</v>
      </c>
    </row>
    <row r="128" spans="1:3" ht="14.4" thickTop="1" thickBot="1">
      <c r="A128" s="24" t="str">
        <f>'My trades'!A128</f>
        <v>tuneagik</v>
      </c>
      <c r="B128" s="28">
        <f>_xlfn.DAYS('My trades'!G128, 'My trades'!D128)</f>
        <v>260</v>
      </c>
      <c r="C128" s="29">
        <f>('My trades'!H128-'My trades'!F128)*'My trades'!E128</f>
        <v>1.9280117647976935E-2</v>
      </c>
    </row>
    <row r="129" spans="1:3" ht="14.4" thickTop="1" thickBot="1">
      <c r="A129" s="24" t="str">
        <f>'My trades'!A129</f>
        <v>xmfevyrg</v>
      </c>
      <c r="B129" s="28">
        <f>_xlfn.DAYS('My trades'!G129, 'My trades'!D129)</f>
        <v>676</v>
      </c>
      <c r="C129" s="29">
        <f>('My trades'!H129-'My trades'!F129)*'My trades'!E129</f>
        <v>1.7559577929617052</v>
      </c>
    </row>
    <row r="130" spans="1:3" ht="14.4" thickTop="1" thickBot="1">
      <c r="A130" s="24" t="str">
        <f>'My trades'!A130</f>
        <v>ciykrilb</v>
      </c>
      <c r="B130" s="28">
        <f>_xlfn.DAYS('My trades'!G130, 'My trades'!D130)</f>
        <v>78</v>
      </c>
      <c r="C130" s="29">
        <f>('My trades'!H130-'My trades'!F130)*'My trades'!E130</f>
        <v>-4.0381767903821597</v>
      </c>
    </row>
    <row r="131" spans="1:3" ht="14.4" thickTop="1" thickBot="1">
      <c r="A131" s="24" t="str">
        <f>'My trades'!A131</f>
        <v>cymioqte</v>
      </c>
      <c r="B131" s="28">
        <f>_xlfn.DAYS('My trades'!G131, 'My trades'!D131)</f>
        <v>634</v>
      </c>
      <c r="C131" s="29">
        <f>('My trades'!H131-'My trades'!F131)*'My trades'!E131</f>
        <v>0.301704449179653</v>
      </c>
    </row>
    <row r="132" spans="1:3" ht="14.4" thickTop="1" thickBot="1">
      <c r="A132" s="24" t="str">
        <f>'My trades'!A132</f>
        <v>gfiuzniq</v>
      </c>
      <c r="B132" s="28">
        <f>_xlfn.DAYS('My trades'!G132, 'My trades'!D132)</f>
        <v>277</v>
      </c>
      <c r="C132" s="29">
        <f>('My trades'!H132-'My trades'!F132)*'My trades'!E132</f>
        <v>5.6557296266118122</v>
      </c>
    </row>
    <row r="133" spans="1:3" ht="14.4" thickTop="1" thickBot="1">
      <c r="A133" s="24" t="str">
        <f>'My trades'!A133</f>
        <v>hmtiybmi</v>
      </c>
      <c r="B133" s="28">
        <f>_xlfn.DAYS('My trades'!G133, 'My trades'!D133)</f>
        <v>344</v>
      </c>
      <c r="C133" s="29">
        <f>('My trades'!H133-'My trades'!F133)*'My trades'!E133</f>
        <v>1.2820395994142724</v>
      </c>
    </row>
    <row r="134" spans="1:3" ht="14.4" thickTop="1" thickBot="1">
      <c r="A134" s="24" t="str">
        <f>'My trades'!A134</f>
        <v>koqfbdwf</v>
      </c>
      <c r="B134" s="28">
        <f>_xlfn.DAYS('My trades'!G134, 'My trades'!D134)</f>
        <v>722</v>
      </c>
      <c r="C134" s="29">
        <f>('My trades'!H134-'My trades'!F134)*'My trades'!E134</f>
        <v>1.3298450652868796</v>
      </c>
    </row>
    <row r="135" spans="1:3" ht="14.4" thickTop="1" thickBot="1">
      <c r="A135" s="24" t="str">
        <f>'My trades'!A135</f>
        <v>ossshndu</v>
      </c>
      <c r="B135" s="28">
        <f>_xlfn.DAYS('My trades'!G135, 'My trades'!D135)</f>
        <v>715</v>
      </c>
      <c r="C135" s="29">
        <f>('My trades'!H135-'My trades'!F135)*'My trades'!E135</f>
        <v>-4.208624827664635</v>
      </c>
    </row>
    <row r="136" spans="1:3" ht="14.4" thickTop="1" thickBot="1">
      <c r="A136" s="24" t="str">
        <f>'My trades'!A136</f>
        <v>xbcdvdtp</v>
      </c>
      <c r="B136" s="28">
        <f>_xlfn.DAYS('My trades'!G136, 'My trades'!D136)</f>
        <v>838</v>
      </c>
      <c r="C136" s="29">
        <f>('My trades'!H136-'My trades'!F136)*'My trades'!E136</f>
        <v>-2.5022226206590386</v>
      </c>
    </row>
    <row r="137" spans="1:3" ht="14.4" thickTop="1" thickBot="1">
      <c r="A137" s="24" t="str">
        <f>'My trades'!A137</f>
        <v>ynrcizqr</v>
      </c>
      <c r="B137" s="28">
        <f>_xlfn.DAYS('My trades'!G137, 'My trades'!D137)</f>
        <v>623</v>
      </c>
      <c r="C137" s="29">
        <f>('My trades'!H137-'My trades'!F137)*'My trades'!E137</f>
        <v>-0.78347954885382642</v>
      </c>
    </row>
    <row r="138" spans="1:3" ht="14.4" thickTop="1" thickBot="1">
      <c r="A138" s="24" t="str">
        <f>'My trades'!A138</f>
        <v>cetffxgx</v>
      </c>
      <c r="B138" s="28">
        <f>_xlfn.DAYS('My trades'!G138, 'My trades'!D138)</f>
        <v>668</v>
      </c>
      <c r="C138" s="29">
        <f>('My trades'!H138-'My trades'!F138)*'My trades'!E138</f>
        <v>0.52361641145730609</v>
      </c>
    </row>
    <row r="139" spans="1:3" ht="14.4" thickTop="1" thickBot="1">
      <c r="A139" s="24" t="str">
        <f>'My trades'!A139</f>
        <v>hutszssu</v>
      </c>
      <c r="B139" s="28">
        <f>_xlfn.DAYS('My trades'!G139, 'My trades'!D139)</f>
        <v>705</v>
      </c>
      <c r="C139" s="29">
        <f>('My trades'!H139-'My trades'!F139)*'My trades'!E139</f>
        <v>-4.4499802946322493</v>
      </c>
    </row>
    <row r="140" spans="1:3" ht="14.4" thickTop="1" thickBot="1">
      <c r="A140" s="24" t="str">
        <f>'My trades'!A140</f>
        <v>njxhycea</v>
      </c>
      <c r="B140" s="28">
        <f>_xlfn.DAYS('My trades'!G140, 'My trades'!D140)</f>
        <v>396</v>
      </c>
      <c r="C140" s="29">
        <f>('My trades'!H140-'My trades'!F140)*'My trades'!E140</f>
        <v>3.3086654370845152</v>
      </c>
    </row>
    <row r="141" spans="1:3" ht="14.4" thickTop="1" thickBot="1">
      <c r="A141" s="24" t="str">
        <f>'My trades'!A141</f>
        <v>nqgoiuik</v>
      </c>
      <c r="B141" s="28">
        <f>_xlfn.DAYS('My trades'!G141, 'My trades'!D141)</f>
        <v>795</v>
      </c>
      <c r="C141" s="29">
        <f>('My trades'!H141-'My trades'!F141)*'My trades'!E141</f>
        <v>0.35090031939170097</v>
      </c>
    </row>
    <row r="142" spans="1:3" ht="14.4" thickTop="1" thickBot="1">
      <c r="A142" s="24" t="str">
        <f>'My trades'!A142</f>
        <v>unxxstxp</v>
      </c>
      <c r="B142" s="28">
        <f>_xlfn.DAYS('My trades'!G142, 'My trades'!D142)</f>
        <v>345</v>
      </c>
      <c r="C142" s="29">
        <f>('My trades'!H142-'My trades'!F142)*'My trades'!E142</f>
        <v>-6.2183137819950052E-2</v>
      </c>
    </row>
    <row r="143" spans="1:3" ht="14.4" thickTop="1" thickBot="1">
      <c r="A143" s="24" t="str">
        <f>'My trades'!A143</f>
        <v>xslzwome</v>
      </c>
      <c r="B143" s="28">
        <f>_xlfn.DAYS('My trades'!G143, 'My trades'!D143)</f>
        <v>231</v>
      </c>
      <c r="C143" s="29">
        <f>('My trades'!H143-'My trades'!F143)*'My trades'!E143</f>
        <v>-2.634202273976245</v>
      </c>
    </row>
    <row r="144" spans="1:3" ht="14.4" thickTop="1" thickBot="1">
      <c r="A144" s="24" t="str">
        <f>'My trades'!A144</f>
        <v>xydeqivj</v>
      </c>
      <c r="B144" s="28">
        <f>_xlfn.DAYS('My trades'!G144, 'My trades'!D144)</f>
        <v>285</v>
      </c>
      <c r="C144" s="29">
        <f>('My trades'!H144-'My trades'!F144)*'My trades'!E144</f>
        <v>0.32849767871635599</v>
      </c>
    </row>
    <row r="145" spans="1:3" ht="14.4" thickTop="1" thickBot="1">
      <c r="A145" s="24" t="str">
        <f>'My trades'!A145</f>
        <v>ybasexlh</v>
      </c>
      <c r="B145" s="28">
        <f>_xlfn.DAYS('My trades'!G145, 'My trades'!D145)</f>
        <v>460</v>
      </c>
      <c r="C145" s="29">
        <f>('My trades'!H145-'My trades'!F145)*'My trades'!E145</f>
        <v>2.8849163151886512</v>
      </c>
    </row>
    <row r="146" spans="1:3" ht="14.4" thickTop="1" thickBot="1">
      <c r="A146" s="24" t="str">
        <f>'My trades'!A146</f>
        <v>beszhcyh</v>
      </c>
      <c r="B146" s="28">
        <f>_xlfn.DAYS('My trades'!G146, 'My trades'!D146)</f>
        <v>407</v>
      </c>
      <c r="C146" s="29">
        <f>('My trades'!H146-'My trades'!F146)*'My trades'!E146</f>
        <v>1.0126794928685681</v>
      </c>
    </row>
    <row r="147" spans="1:3" ht="14.4" thickTop="1" thickBot="1">
      <c r="A147" s="24" t="str">
        <f>'My trades'!A147</f>
        <v>chhqshvn</v>
      </c>
      <c r="B147" s="28">
        <f>_xlfn.DAYS('My trades'!G147, 'My trades'!D147)</f>
        <v>267</v>
      </c>
      <c r="C147" s="29">
        <f>('My trades'!H147-'My trades'!F147)*'My trades'!E147</f>
        <v>-0.37738991121094789</v>
      </c>
    </row>
    <row r="148" spans="1:3" ht="14.4" thickTop="1" thickBot="1">
      <c r="A148" s="24" t="str">
        <f>'My trades'!A148</f>
        <v>hkesgmfj</v>
      </c>
      <c r="B148" s="28">
        <f>_xlfn.DAYS('My trades'!G148, 'My trades'!D148)</f>
        <v>793</v>
      </c>
      <c r="C148" s="29">
        <f>('My trades'!H148-'My trades'!F148)*'My trades'!E148</f>
        <v>2.2708822152455479</v>
      </c>
    </row>
    <row r="149" spans="1:3" ht="14.4" thickTop="1" thickBot="1">
      <c r="A149" s="24" t="str">
        <f>'My trades'!A149</f>
        <v>ifomvwpk</v>
      </c>
      <c r="B149" s="28">
        <f>_xlfn.DAYS('My trades'!G149, 'My trades'!D149)</f>
        <v>688</v>
      </c>
      <c r="C149" s="29">
        <f>('My trades'!H149-'My trades'!F149)*'My trades'!E149</f>
        <v>-3.0697853937032005E-2</v>
      </c>
    </row>
    <row r="150" spans="1:3" ht="14.4" thickTop="1" thickBot="1">
      <c r="A150" s="24" t="str">
        <f>'My trades'!A150</f>
        <v>pywztrno</v>
      </c>
      <c r="B150" s="28">
        <f>_xlfn.DAYS('My trades'!G150, 'My trades'!D150)</f>
        <v>175</v>
      </c>
      <c r="C150" s="29">
        <f>('My trades'!H150-'My trades'!F150)*'My trades'!E150</f>
        <v>-0.51703471594803296</v>
      </c>
    </row>
    <row r="151" spans="1:3" ht="14.4" thickTop="1" thickBot="1">
      <c r="A151" s="24" t="str">
        <f>'My trades'!A151</f>
        <v>tjtyuhoi</v>
      </c>
      <c r="B151" s="28">
        <f>_xlfn.DAYS('My trades'!G151, 'My trades'!D151)</f>
        <v>307</v>
      </c>
      <c r="C151" s="29">
        <f>('My trades'!H151-'My trades'!F151)*'My trades'!E151</f>
        <v>4.4587290504929902</v>
      </c>
    </row>
    <row r="152" spans="1:3" ht="14.4" thickTop="1" thickBot="1">
      <c r="A152" s="24" t="str">
        <f>'My trades'!A152</f>
        <v>ynqvlbrq</v>
      </c>
      <c r="B152" s="28">
        <f>_xlfn.DAYS('My trades'!G152, 'My trades'!D152)</f>
        <v>747</v>
      </c>
      <c r="C152" s="29">
        <f>('My trades'!H152-'My trades'!F152)*'My trades'!E152</f>
        <v>0.20832661022901502</v>
      </c>
    </row>
    <row r="153" spans="1:3" ht="14.4" thickTop="1" thickBot="1">
      <c r="A153" s="24" t="str">
        <f>'My trades'!A153</f>
        <v>zhhtkovi</v>
      </c>
      <c r="B153" s="28">
        <f>_xlfn.DAYS('My trades'!G153, 'My trades'!D153)</f>
        <v>526</v>
      </c>
      <c r="C153" s="29">
        <f>('My trades'!H153-'My trades'!F153)*'My trades'!E153</f>
        <v>-0.58197825859747199</v>
      </c>
    </row>
    <row r="154" spans="1:3" ht="14.4" thickTop="1" thickBot="1">
      <c r="A154" s="24" t="str">
        <f>'My trades'!A154</f>
        <v>bdkloegq</v>
      </c>
      <c r="B154" s="28">
        <f>_xlfn.DAYS('My trades'!G154, 'My trades'!D154)</f>
        <v>430</v>
      </c>
      <c r="C154" s="29">
        <f>('My trades'!H154-'My trades'!F154)*'My trades'!E154</f>
        <v>0.91937945611308602</v>
      </c>
    </row>
    <row r="155" spans="1:3" ht="14.4" thickTop="1" thickBot="1">
      <c r="A155" s="24" t="str">
        <f>'My trades'!A155</f>
        <v>ebkkmqbi</v>
      </c>
      <c r="B155" s="28">
        <f>_xlfn.DAYS('My trades'!G155, 'My trades'!D155)</f>
        <v>465</v>
      </c>
      <c r="C155" s="29">
        <f>('My trades'!H155-'My trades'!F155)*'My trades'!E155</f>
        <v>-3.8535105118851813</v>
      </c>
    </row>
    <row r="156" spans="1:3" ht="14.4" thickTop="1" thickBot="1">
      <c r="A156" s="24" t="str">
        <f>'My trades'!A156</f>
        <v>hdpggnqd</v>
      </c>
      <c r="B156" s="28">
        <f>_xlfn.DAYS('My trades'!G156, 'My trades'!D156)</f>
        <v>524</v>
      </c>
      <c r="C156" s="29">
        <f>('My trades'!H156-'My trades'!F156)*'My trades'!E156</f>
        <v>1.8146635979030941</v>
      </c>
    </row>
    <row r="157" spans="1:3" ht="14.4" thickTop="1" thickBot="1">
      <c r="A157" s="24" t="str">
        <f>'My trades'!A157</f>
        <v>hfwtmipz</v>
      </c>
      <c r="B157" s="28">
        <f>_xlfn.DAYS('My trades'!G157, 'My trades'!D157)</f>
        <v>162</v>
      </c>
      <c r="C157" s="29">
        <f>('My trades'!H157-'My trades'!F157)*'My trades'!E157</f>
        <v>2.824521311271774</v>
      </c>
    </row>
    <row r="158" spans="1:3" ht="14.4" thickTop="1" thickBot="1">
      <c r="A158" s="24" t="str">
        <f>'My trades'!A158</f>
        <v>pberstsl</v>
      </c>
      <c r="B158" s="28">
        <f>_xlfn.DAYS('My trades'!G158, 'My trades'!D158)</f>
        <v>534</v>
      </c>
      <c r="C158" s="29">
        <f>('My trades'!H158-'My trades'!F158)*'My trades'!E158</f>
        <v>-0.24632205548731403</v>
      </c>
    </row>
    <row r="159" spans="1:3" ht="14.4" thickTop="1" thickBot="1">
      <c r="A159" s="24" t="str">
        <f>'My trades'!A159</f>
        <v>tsrjnkjg</v>
      </c>
      <c r="B159" s="28">
        <f>_xlfn.DAYS('My trades'!G159, 'My trades'!D159)</f>
        <v>410</v>
      </c>
      <c r="C159" s="29">
        <f>('My trades'!H159-'My trades'!F159)*'My trades'!E159</f>
        <v>0.30343950901873695</v>
      </c>
    </row>
    <row r="160" spans="1:3" ht="14.4" thickTop="1" thickBot="1">
      <c r="A160" s="24" t="str">
        <f>'My trades'!A160</f>
        <v>wgzgfkki</v>
      </c>
      <c r="B160" s="28">
        <f>_xlfn.DAYS('My trades'!G160, 'My trades'!D160)</f>
        <v>543</v>
      </c>
      <c r="C160" s="29">
        <f>('My trades'!H160-'My trades'!F160)*'My trades'!E160</f>
        <v>-3.4330174579970323</v>
      </c>
    </row>
    <row r="161" spans="1:3" ht="14.4" thickTop="1" thickBot="1">
      <c r="A161" s="24" t="str">
        <f>'My trades'!A161</f>
        <v>wiujcxll</v>
      </c>
      <c r="B161" s="28">
        <f>_xlfn.DAYS('My trades'!G161, 'My trades'!D161)</f>
        <v>565</v>
      </c>
      <c r="C161" s="29">
        <f>('My trades'!H161-'My trades'!F161)*'My trades'!E161</f>
        <v>-0.68743133338791007</v>
      </c>
    </row>
    <row r="162" spans="1:3" ht="14.4" thickTop="1" thickBot="1">
      <c r="A162" s="24" t="str">
        <f>'My trades'!A162</f>
        <v>apxkynfx</v>
      </c>
      <c r="B162" s="28">
        <f>_xlfn.DAYS('My trades'!G162, 'My trades'!D162)</f>
        <v>307</v>
      </c>
      <c r="C162" s="29">
        <f>('My trades'!H162-'My trades'!F162)*'My trades'!E162</f>
        <v>0.36765639973741299</v>
      </c>
    </row>
    <row r="163" spans="1:3" ht="14.4" thickTop="1" thickBot="1">
      <c r="A163" s="24" t="str">
        <f>'My trades'!A163</f>
        <v>fipcayvv</v>
      </c>
      <c r="B163" s="28">
        <f>_xlfn.DAYS('My trades'!G163, 'My trades'!D163)</f>
        <v>434</v>
      </c>
      <c r="C163" s="29">
        <f>('My trades'!H163-'My trades'!F163)*'My trades'!E163</f>
        <v>-0.62411902987622447</v>
      </c>
    </row>
    <row r="164" spans="1:3" ht="14.4" thickTop="1" thickBot="1">
      <c r="A164" s="24" t="str">
        <f>'My trades'!A164</f>
        <v>hfdavabb</v>
      </c>
      <c r="B164" s="28">
        <f>_xlfn.DAYS('My trades'!G164, 'My trades'!D164)</f>
        <v>622</v>
      </c>
      <c r="C164" s="29">
        <f>('My trades'!H164-'My trades'!F164)*'My trades'!E164</f>
        <v>-0.30381566673822691</v>
      </c>
    </row>
    <row r="165" spans="1:3" ht="14.4" thickTop="1" thickBot="1">
      <c r="A165" s="24" t="str">
        <f>'My trades'!A165</f>
        <v>hfjghpbq</v>
      </c>
      <c r="B165" s="28">
        <f>_xlfn.DAYS('My trades'!G165, 'My trades'!D165)</f>
        <v>635</v>
      </c>
      <c r="C165" s="29">
        <f>('My trades'!H165-'My trades'!F165)*'My trades'!E165</f>
        <v>6.5021316256868396</v>
      </c>
    </row>
    <row r="166" spans="1:3" ht="14.4" thickTop="1" thickBot="1">
      <c r="A166" s="24" t="str">
        <f>'My trades'!A166</f>
        <v>jxgqnvpx</v>
      </c>
      <c r="B166" s="28">
        <f>_xlfn.DAYS('My trades'!G166, 'My trades'!D166)</f>
        <v>510</v>
      </c>
      <c r="C166" s="29">
        <f>('My trades'!H166-'My trades'!F166)*'My trades'!E166</f>
        <v>3.6786823427516997</v>
      </c>
    </row>
    <row r="167" spans="1:3" ht="14.4" thickTop="1" thickBot="1">
      <c r="A167" s="24" t="str">
        <f>'My trades'!A167</f>
        <v>olnjegug</v>
      </c>
      <c r="B167" s="28">
        <f>_xlfn.DAYS('My trades'!G167, 'My trades'!D167)</f>
        <v>271</v>
      </c>
      <c r="C167" s="29">
        <f>('My trades'!H167-'My trades'!F167)*'My trades'!E167</f>
        <v>-2.2984402212260577</v>
      </c>
    </row>
    <row r="168" spans="1:3" ht="14.4" thickTop="1" thickBot="1">
      <c r="A168" s="24" t="str">
        <f>'My trades'!A168</f>
        <v>pyljmfku</v>
      </c>
      <c r="B168" s="28">
        <f>_xlfn.DAYS('My trades'!G168, 'My trades'!D168)</f>
        <v>58</v>
      </c>
      <c r="C168" s="29">
        <f>('My trades'!H168-'My trades'!F168)*'My trades'!E168</f>
        <v>-3.7137817771547201</v>
      </c>
    </row>
    <row r="169" spans="1:3" ht="14.4" thickTop="1" thickBot="1">
      <c r="A169" s="24" t="str">
        <f>'My trades'!A169</f>
        <v>wzerurjz</v>
      </c>
      <c r="B169" s="28">
        <f>_xlfn.DAYS('My trades'!G169, 'My trades'!D169)</f>
        <v>753</v>
      </c>
      <c r="C169" s="29">
        <f>('My trades'!H169-'My trades'!F169)*'My trades'!E169</f>
        <v>-2.6230882843513141</v>
      </c>
    </row>
    <row r="170" spans="1:3" ht="14.4" thickTop="1" thickBot="1">
      <c r="A170" s="24" t="str">
        <f>'My trades'!A170</f>
        <v>ewzlrcco</v>
      </c>
      <c r="B170" s="28">
        <f>_xlfn.DAYS('My trades'!G170, 'My trades'!D170)</f>
        <v>499</v>
      </c>
      <c r="C170" s="29">
        <f>('My trades'!H170-'My trades'!F170)*'My trades'!E170</f>
        <v>2.9976291326534672</v>
      </c>
    </row>
    <row r="171" spans="1:3" ht="14.4" thickTop="1" thickBot="1">
      <c r="A171" s="24" t="str">
        <f>'My trades'!A171</f>
        <v>fjhbimle</v>
      </c>
      <c r="B171" s="28">
        <f>_xlfn.DAYS('My trades'!G171, 'My trades'!D171)</f>
        <v>130</v>
      </c>
      <c r="C171" s="29">
        <f>('My trades'!H171-'My trades'!F171)*'My trades'!E171</f>
        <v>-0.41919267769104795</v>
      </c>
    </row>
    <row r="172" spans="1:3" ht="14.4" thickTop="1" thickBot="1">
      <c r="A172" s="24" t="str">
        <f>'My trades'!A172</f>
        <v>kmlcsefq</v>
      </c>
      <c r="B172" s="28">
        <f>_xlfn.DAYS('My trades'!G172, 'My trades'!D172)</f>
        <v>199</v>
      </c>
      <c r="C172" s="29">
        <f>('My trades'!H172-'My trades'!F172)*'My trades'!E172</f>
        <v>-0.20085805852064986</v>
      </c>
    </row>
    <row r="173" spans="1:3" ht="14.4" thickTop="1" thickBot="1">
      <c r="A173" s="24" t="str">
        <f>'My trades'!A173</f>
        <v>nheepbxg</v>
      </c>
      <c r="B173" s="28">
        <f>_xlfn.DAYS('My trades'!G173, 'My trades'!D173)</f>
        <v>69</v>
      </c>
      <c r="C173" s="29">
        <f>('My trades'!H173-'My trades'!F173)*'My trades'!E173</f>
        <v>-2.6947242268262701</v>
      </c>
    </row>
    <row r="174" spans="1:3" ht="14.4" thickTop="1" thickBot="1">
      <c r="A174" s="24" t="str">
        <f>'My trades'!A174</f>
        <v>rfngluke</v>
      </c>
      <c r="B174" s="28">
        <f>_xlfn.DAYS('My trades'!G174, 'My trades'!D174)</f>
        <v>329</v>
      </c>
      <c r="C174" s="29">
        <f>('My trades'!H174-'My trades'!F174)*'My trades'!E174</f>
        <v>0.40669450199158963</v>
      </c>
    </row>
    <row r="175" spans="1:3" ht="14.4" thickTop="1" thickBot="1">
      <c r="A175" s="24" t="str">
        <f>'My trades'!A175</f>
        <v>seszlhqz</v>
      </c>
      <c r="B175" s="28">
        <f>_xlfn.DAYS('My trades'!G175, 'My trades'!D175)</f>
        <v>146</v>
      </c>
      <c r="C175" s="29">
        <f>('My trades'!H175-'My trades'!F175)*'My trades'!E175</f>
        <v>0.82192099893295789</v>
      </c>
    </row>
    <row r="176" spans="1:3" ht="14.4" thickTop="1" thickBot="1">
      <c r="A176" s="24" t="str">
        <f>'My trades'!A176</f>
        <v>ydcmffnz</v>
      </c>
      <c r="B176" s="28">
        <f>_xlfn.DAYS('My trades'!G176, 'My trades'!D176)</f>
        <v>589</v>
      </c>
      <c r="C176" s="29">
        <f>('My trades'!H176-'My trades'!F176)*'My trades'!E176</f>
        <v>3.5109906860680162</v>
      </c>
    </row>
    <row r="177" spans="1:3" ht="14.4" thickTop="1" thickBot="1">
      <c r="A177" s="24" t="str">
        <f>'My trades'!A177</f>
        <v>zsylhezi</v>
      </c>
      <c r="B177" s="28">
        <f>_xlfn.DAYS('My trades'!G177, 'My trades'!D177)</f>
        <v>295</v>
      </c>
      <c r="C177" s="29">
        <f>('My trades'!H177-'My trades'!F177)*'My trades'!E177</f>
        <v>2.3299770433649041</v>
      </c>
    </row>
    <row r="178" spans="1:3" ht="14.4" thickTop="1" thickBot="1">
      <c r="A178" s="24" t="str">
        <f>'My trades'!A178</f>
        <v>dcnexoao</v>
      </c>
      <c r="B178" s="28">
        <f>_xlfn.DAYS('My trades'!G178, 'My trades'!D178)</f>
        <v>546</v>
      </c>
      <c r="C178" s="29">
        <f>('My trades'!H178-'My trades'!F178)*'My trades'!E178</f>
        <v>-0.61275828035882995</v>
      </c>
    </row>
    <row r="179" spans="1:3" ht="14.4" thickTop="1" thickBot="1">
      <c r="A179" s="24" t="str">
        <f>'My trades'!A179</f>
        <v>emjmheht</v>
      </c>
      <c r="B179" s="28">
        <f>_xlfn.DAYS('My trades'!G179, 'My trades'!D179)</f>
        <v>387</v>
      </c>
      <c r="C179" s="29">
        <f>('My trades'!H179-'My trades'!F179)*'My trades'!E179</f>
        <v>5.7730508510901872</v>
      </c>
    </row>
    <row r="180" spans="1:3" ht="14.4" thickTop="1" thickBot="1">
      <c r="A180" s="24" t="str">
        <f>'My trades'!A180</f>
        <v>hdslpwul</v>
      </c>
      <c r="B180" s="28">
        <f>_xlfn.DAYS('My trades'!G180, 'My trades'!D180)</f>
        <v>428</v>
      </c>
      <c r="C180" s="29">
        <f>('My trades'!H180-'My trades'!F180)*'My trades'!E180</f>
        <v>2.075152539482163</v>
      </c>
    </row>
    <row r="181" spans="1:3" ht="14.4" thickTop="1" thickBot="1">
      <c r="A181" s="24" t="str">
        <f>'My trades'!A181</f>
        <v>hflsqchs</v>
      </c>
      <c r="B181" s="28">
        <f>_xlfn.DAYS('My trades'!G181, 'My trades'!D181)</f>
        <v>324</v>
      </c>
      <c r="C181" s="29">
        <f>('My trades'!H181-'My trades'!F181)*'My trades'!E181</f>
        <v>1.111511838610578</v>
      </c>
    </row>
    <row r="182" spans="1:3" ht="14.4" thickTop="1" thickBot="1">
      <c r="A182" s="24" t="str">
        <f>'My trades'!A182</f>
        <v>poohpdwc</v>
      </c>
      <c r="B182" s="28">
        <f>_xlfn.DAYS('My trades'!G182, 'My trades'!D182)</f>
        <v>308</v>
      </c>
      <c r="C182" s="29">
        <f>('My trades'!H182-'My trades'!F182)*'My trades'!E182</f>
        <v>-3.6237978366431691</v>
      </c>
    </row>
    <row r="183" spans="1:3" ht="14.4" thickTop="1" thickBot="1">
      <c r="A183" s="24" t="str">
        <f>'My trades'!A183</f>
        <v>sejklwar</v>
      </c>
      <c r="B183" s="28">
        <f>_xlfn.DAYS('My trades'!G183, 'My trades'!D183)</f>
        <v>469</v>
      </c>
      <c r="C183" s="29">
        <f>('My trades'!H183-'My trades'!F183)*'My trades'!E183</f>
        <v>2.6056907203952058</v>
      </c>
    </row>
    <row r="184" spans="1:3" ht="14.4" thickTop="1" thickBot="1">
      <c r="A184" s="24" t="str">
        <f>'My trades'!A184</f>
        <v>tsmbtvip</v>
      </c>
      <c r="B184" s="28">
        <f>_xlfn.DAYS('My trades'!G184, 'My trades'!D184)</f>
        <v>456</v>
      </c>
      <c r="C184" s="29">
        <f>('My trades'!H184-'My trades'!F184)*'My trades'!E184</f>
        <v>-4.196142457933874</v>
      </c>
    </row>
    <row r="185" spans="1:3" ht="14.4" thickTop="1" thickBot="1">
      <c r="A185" s="24" t="str">
        <f>'My trades'!A185</f>
        <v>wgpoqytj</v>
      </c>
      <c r="B185" s="28">
        <f>_xlfn.DAYS('My trades'!G185, 'My trades'!D185)</f>
        <v>744</v>
      </c>
      <c r="C185" s="29">
        <f>('My trades'!H185-'My trades'!F185)*'My trades'!E185</f>
        <v>1.2663374943292061E-2</v>
      </c>
    </row>
    <row r="186" spans="1:3" ht="14.4" thickTop="1" thickBot="1">
      <c r="A186" s="24" t="str">
        <f>'My trades'!A186</f>
        <v>dlgsjszn</v>
      </c>
      <c r="B186" s="28">
        <f>_xlfn.DAYS('My trades'!G186, 'My trades'!D186)</f>
        <v>237</v>
      </c>
      <c r="C186" s="29">
        <f>('My trades'!H186-'My trades'!F186)*'My trades'!E186</f>
        <v>0.44720070488754604</v>
      </c>
    </row>
    <row r="187" spans="1:3" ht="14.4" thickTop="1" thickBot="1">
      <c r="A187" s="24" t="str">
        <f>'My trades'!A187</f>
        <v>frlnnmpc</v>
      </c>
      <c r="B187" s="28">
        <f>_xlfn.DAYS('My trades'!G187, 'My trades'!D187)</f>
        <v>482</v>
      </c>
      <c r="C187" s="29">
        <f>('My trades'!H187-'My trades'!F187)*'My trades'!E187</f>
        <v>-4.8240735386516205</v>
      </c>
    </row>
    <row r="188" spans="1:3" ht="14.4" thickTop="1" thickBot="1">
      <c r="A188" s="24" t="str">
        <f>'My trades'!A188</f>
        <v>fzpkolfu</v>
      </c>
      <c r="B188" s="28">
        <f>_xlfn.DAYS('My trades'!G188, 'My trades'!D188)</f>
        <v>743</v>
      </c>
      <c r="C188" s="29">
        <f>('My trades'!H188-'My trades'!F188)*'My trades'!E188</f>
        <v>2.0811125741674505</v>
      </c>
    </row>
    <row r="189" spans="1:3" ht="14.4" thickTop="1" thickBot="1">
      <c r="A189" s="24" t="str">
        <f>'My trades'!A189</f>
        <v>heuzjzpi</v>
      </c>
      <c r="B189" s="28">
        <f>_xlfn.DAYS('My trades'!G189, 'My trades'!D189)</f>
        <v>615</v>
      </c>
      <c r="C189" s="29">
        <f>('My trades'!H189-'My trades'!F189)*'My trades'!E189</f>
        <v>-1.5872857242842442</v>
      </c>
    </row>
    <row r="190" spans="1:3" ht="14.4" thickTop="1" thickBot="1">
      <c r="A190" s="24" t="str">
        <f>'My trades'!A190</f>
        <v>iztdnkqz</v>
      </c>
      <c r="B190" s="28">
        <f>_xlfn.DAYS('My trades'!G190, 'My trades'!D190)</f>
        <v>204</v>
      </c>
      <c r="C190" s="29">
        <f>('My trades'!H190-'My trades'!F190)*'My trades'!E190</f>
        <v>-2.5716032628258279</v>
      </c>
    </row>
    <row r="191" spans="1:3" ht="14.4" thickTop="1" thickBot="1">
      <c r="A191" s="24" t="str">
        <f>'My trades'!A191</f>
        <v>jhrvrggo</v>
      </c>
      <c r="B191" s="28">
        <f>_xlfn.DAYS('My trades'!G191, 'My trades'!D191)</f>
        <v>222</v>
      </c>
      <c r="C191" s="29">
        <f>('My trades'!H191-'My trades'!F191)*'My trades'!E191</f>
        <v>7.8785100953612991E-2</v>
      </c>
    </row>
    <row r="192" spans="1:3" ht="14.4" thickTop="1" thickBot="1">
      <c r="A192" s="24" t="str">
        <f>'My trades'!A192</f>
        <v>krqkwnaw</v>
      </c>
      <c r="B192" s="28">
        <f>_xlfn.DAYS('My trades'!G192, 'My trades'!D192)</f>
        <v>397</v>
      </c>
      <c r="C192" s="29">
        <f>('My trades'!H192-'My trades'!F192)*'My trades'!E192</f>
        <v>-0.20186197918953602</v>
      </c>
    </row>
    <row r="193" spans="1:3" ht="14.4" thickTop="1" thickBot="1">
      <c r="A193" s="24" t="str">
        <f>'My trades'!A193</f>
        <v>maizvkuo</v>
      </c>
      <c r="B193" s="28">
        <f>_xlfn.DAYS('My trades'!G193, 'My trades'!D193)</f>
        <v>609</v>
      </c>
      <c r="C193" s="29">
        <f>('My trades'!H193-'My trades'!F193)*'My trades'!E193</f>
        <v>5.9739185775797843E-4</v>
      </c>
    </row>
    <row r="194" spans="1:3" ht="14.4" thickTop="1" thickBot="1">
      <c r="A194" s="24" t="str">
        <f>'My trades'!A194</f>
        <v>nriklgrf</v>
      </c>
      <c r="B194" s="28">
        <f>_xlfn.DAYS('My trades'!G194, 'My trades'!D194)</f>
        <v>623</v>
      </c>
      <c r="C194" s="29">
        <f>('My trades'!H194-'My trades'!F194)*'My trades'!E194</f>
        <v>-1.7681553669948498</v>
      </c>
    </row>
    <row r="195" spans="1:3" ht="14.4" thickTop="1" thickBot="1">
      <c r="A195" s="24" t="str">
        <f>'My trades'!A195</f>
        <v>pcifviip</v>
      </c>
      <c r="B195" s="28">
        <f>_xlfn.DAYS('My trades'!G195, 'My trades'!D195)</f>
        <v>417</v>
      </c>
      <c r="C195" s="29">
        <f>('My trades'!H195-'My trades'!F195)*'My trades'!E195</f>
        <v>-3.0400181772773198</v>
      </c>
    </row>
    <row r="196" spans="1:3" ht="14.4" thickTop="1" thickBot="1">
      <c r="A196" s="24" t="str">
        <f>'My trades'!A196</f>
        <v>rgbcrwet</v>
      </c>
      <c r="B196" s="28">
        <f>_xlfn.DAYS('My trades'!G196, 'My trades'!D196)</f>
        <v>669</v>
      </c>
      <c r="C196" s="29">
        <f>('My trades'!H196-'My trades'!F196)*'My trades'!E196</f>
        <v>-1.731860524005312</v>
      </c>
    </row>
    <row r="197" spans="1:3" ht="14.4" thickTop="1" thickBot="1">
      <c r="A197" s="24" t="str">
        <f>'My trades'!A197</f>
        <v>rypujago</v>
      </c>
      <c r="B197" s="28">
        <f>_xlfn.DAYS('My trades'!G197, 'My trades'!D197)</f>
        <v>756</v>
      </c>
      <c r="C197" s="29">
        <f>('My trades'!H197-'My trades'!F197)*'My trades'!E197</f>
        <v>-0.10408160445723602</v>
      </c>
    </row>
    <row r="198" spans="1:3" ht="14.4" thickTop="1" thickBot="1">
      <c r="A198" s="24" t="str">
        <f>'My trades'!A198</f>
        <v>upcbwvls</v>
      </c>
      <c r="B198" s="28">
        <f>_xlfn.DAYS('My trades'!G198, 'My trades'!D198)</f>
        <v>698</v>
      </c>
      <c r="C198" s="29">
        <f>('My trades'!H198-'My trades'!F198)*'My trades'!E198</f>
        <v>1.525589636865456</v>
      </c>
    </row>
    <row r="199" spans="1:3" ht="14.4" thickTop="1" thickBot="1">
      <c r="A199" s="24" t="str">
        <f>'My trades'!A199</f>
        <v>waxzujox</v>
      </c>
      <c r="B199" s="28">
        <f>_xlfn.DAYS('My trades'!G199, 'My trades'!D199)</f>
        <v>143</v>
      </c>
      <c r="C199" s="29">
        <f>('My trades'!H199-'My trades'!F199)*'My trades'!E199</f>
        <v>3.3174060387963E-2</v>
      </c>
    </row>
    <row r="200" spans="1:3" ht="14.4" thickTop="1" thickBot="1">
      <c r="A200" s="24" t="str">
        <f>'My trades'!A200</f>
        <v>xkdlzakx</v>
      </c>
      <c r="B200" s="28">
        <f>_xlfn.DAYS('My trades'!G200, 'My trades'!D200)</f>
        <v>712</v>
      </c>
      <c r="C200" s="29">
        <f>('My trades'!H200-'My trades'!F200)*'My trades'!E200</f>
        <v>1.1097043774273523</v>
      </c>
    </row>
    <row r="201" spans="1:3" ht="14.4" thickTop="1" thickBot="1">
      <c r="A201" s="24" t="str">
        <f>'My trades'!A201</f>
        <v>xmzhzbvl</v>
      </c>
      <c r="B201" s="28">
        <f>_xlfn.DAYS('My trades'!G201, 'My trades'!D201)</f>
        <v>501</v>
      </c>
      <c r="C201" s="29">
        <f>('My trades'!H201-'My trades'!F201)*'My trades'!E201</f>
        <v>1.6595270008323837</v>
      </c>
    </row>
    <row r="202" spans="1:3" ht="13.8" thickTop="1"/>
  </sheetData>
  <mergeCells count="1">
    <mergeCell ref="F35:M4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ABA5-1D34-49BB-B04E-5CBA72C64E01}">
  <dimension ref="A2:T35"/>
  <sheetViews>
    <sheetView topLeftCell="A3" zoomScale="96" zoomScaleNormal="96" workbookViewId="0">
      <selection activeCell="S40" sqref="S40"/>
    </sheetView>
  </sheetViews>
  <sheetFormatPr defaultRowHeight="13.2"/>
  <cols>
    <col min="2" max="2" width="13.88671875" bestFit="1" customWidth="1"/>
    <col min="13" max="13" width="10.77734375" bestFit="1" customWidth="1"/>
  </cols>
  <sheetData>
    <row r="2" spans="1:13" ht="13.8" thickBot="1"/>
    <row r="3" spans="1:13" ht="13.8" thickTop="1">
      <c r="C3" s="47" t="s">
        <v>254</v>
      </c>
      <c r="D3" s="48"/>
      <c r="E3" s="48"/>
      <c r="F3" s="48"/>
      <c r="G3" s="48"/>
      <c r="H3" s="48"/>
      <c r="I3" s="48"/>
      <c r="J3" s="48"/>
      <c r="K3" s="48"/>
      <c r="L3" s="49"/>
    </row>
    <row r="4" spans="1:13" ht="13.8" thickBot="1">
      <c r="C4" s="50"/>
      <c r="D4" s="51"/>
      <c r="E4" s="51"/>
      <c r="F4" s="51"/>
      <c r="G4" s="51"/>
      <c r="H4" s="51"/>
      <c r="I4" s="51"/>
      <c r="J4" s="51"/>
      <c r="K4" s="51"/>
      <c r="L4" s="52"/>
    </row>
    <row r="5" spans="1:13" ht="13.8" customHeight="1" thickTop="1" thickBot="1">
      <c r="B5" s="25"/>
      <c r="C5" s="62">
        <v>1</v>
      </c>
      <c r="D5" s="62">
        <v>2</v>
      </c>
      <c r="E5" s="62">
        <v>3</v>
      </c>
      <c r="F5" s="62">
        <v>4</v>
      </c>
      <c r="G5" s="62">
        <v>5</v>
      </c>
      <c r="H5" s="62">
        <v>6</v>
      </c>
      <c r="I5" s="62">
        <v>7</v>
      </c>
      <c r="J5" s="62">
        <v>8</v>
      </c>
      <c r="K5" s="62">
        <v>9</v>
      </c>
      <c r="L5" s="62">
        <v>10</v>
      </c>
      <c r="M5" s="61" t="s">
        <v>255</v>
      </c>
    </row>
    <row r="6" spans="1:13" ht="19.8" thickTop="1" thickBot="1">
      <c r="A6" s="54" t="s">
        <v>253</v>
      </c>
      <c r="B6" s="27" t="str" cm="1">
        <f t="array" ref="B6:B22">_xlfn.UNIQUE( 'My trades'!C2:C201)</f>
        <v>Australia</v>
      </c>
      <c r="C6" s="57">
        <f>COUNTIFS('My trades'!C:C,B6,'My trades'!E:E,'Number of Trades Exchanged'!$C$5)</f>
        <v>3</v>
      </c>
      <c r="D6" s="53">
        <f>COUNTIFS('My trades'!C:C,B6,'My trades'!E:E,$D$5)</f>
        <v>2</v>
      </c>
      <c r="E6" s="53">
        <f>COUNTIFS('My trades'!C:C,B6,'My trades'!E:E,'Number of Trades Exchanged'!$E$5)</f>
        <v>1</v>
      </c>
      <c r="F6" s="53">
        <f>COUNTIFS('My trades'!C:C,B6,'My trades'!E:E,'Number of Trades Exchanged'!$F$5)</f>
        <v>0</v>
      </c>
      <c r="G6" s="53">
        <f>COUNTIFS('My trades'!C:C,B6,'My trades'!E:E,'Number of Trades Exchanged'!$G$5)</f>
        <v>3</v>
      </c>
      <c r="H6" s="53">
        <f>COUNTIFS('My trades'!C:C,B6,'My trades'!E:E,'Number of Trades Exchanged'!$H$5)</f>
        <v>1</v>
      </c>
      <c r="I6" s="53">
        <f>COUNTIFS('My trades'!C:C,B6,'My trades'!E:E,'Number of Trades Exchanged'!$I$5)</f>
        <v>3</v>
      </c>
      <c r="J6" s="53">
        <f>COUNTIFS('My trades'!C:C,B6,'My trades'!E:E,'Number of Trades Exchanged'!$J$5)</f>
        <v>1</v>
      </c>
      <c r="K6" s="53">
        <f>COUNTIFS('My trades'!C:C,B6,'My trades'!E:E,'Number of Trades Exchanged'!$K$5)</f>
        <v>0</v>
      </c>
      <c r="L6" s="53">
        <f>COUNTIFS('My trades'!C:C,B6,'My trades'!E:E,'Number of Trades Exchanged'!$L$5)</f>
        <v>2</v>
      </c>
      <c r="M6" s="60">
        <f>SUM(C6:L6)</f>
        <v>16</v>
      </c>
    </row>
    <row r="7" spans="1:13" ht="19.8" thickTop="1" thickBot="1">
      <c r="A7" s="55"/>
      <c r="B7" s="27" t="str">
        <v>Brazil</v>
      </c>
      <c r="C7" s="57">
        <f>COUNTIFS('My trades'!C:C,B7,'My trades'!E:E,'Number of Trades Exchanged'!$C$5)</f>
        <v>2</v>
      </c>
      <c r="D7" s="53">
        <f>COUNTIFS('My trades'!C:C,B7,'My trades'!E:E,$D$5)</f>
        <v>3</v>
      </c>
      <c r="E7" s="53">
        <f>COUNTIFS('My trades'!C:C,B7,'My trades'!E:E,'Number of Trades Exchanged'!$E$5)</f>
        <v>1</v>
      </c>
      <c r="F7" s="53">
        <f>COUNTIFS('My trades'!C:C,B7,'My trades'!E:E,'Number of Trades Exchanged'!$F$5)</f>
        <v>1</v>
      </c>
      <c r="G7" s="53">
        <f>COUNTIFS('My trades'!C:C,B7,'My trades'!E:E,'Number of Trades Exchanged'!$G$5)</f>
        <v>0</v>
      </c>
      <c r="H7" s="53">
        <f>COUNTIFS('My trades'!C:C,B7,'My trades'!E:E,'Number of Trades Exchanged'!$H$5)</f>
        <v>1</v>
      </c>
      <c r="I7" s="53">
        <f>COUNTIFS('My trades'!C:C,B7,'My trades'!E:E,'Number of Trades Exchanged'!$I$5)</f>
        <v>4</v>
      </c>
      <c r="J7" s="53">
        <f>COUNTIFS('My trades'!C:C,B7,'My trades'!E:E,'Number of Trades Exchanged'!$J$5)</f>
        <v>2</v>
      </c>
      <c r="K7" s="53">
        <f>COUNTIFS('My trades'!C:C,B7,'My trades'!E:E,'Number of Trades Exchanged'!$K$5)</f>
        <v>2</v>
      </c>
      <c r="L7" s="53">
        <f>COUNTIFS('My trades'!C:C,B7,'My trades'!E:E,'Number of Trades Exchanged'!$L$5)</f>
        <v>0</v>
      </c>
      <c r="M7" s="60">
        <f t="shared" ref="M7:M22" si="0">SUM(C7:L7)</f>
        <v>16</v>
      </c>
    </row>
    <row r="8" spans="1:13" ht="19.8" thickTop="1" thickBot="1">
      <c r="A8" s="55"/>
      <c r="B8" s="27" t="str">
        <v>Canada</v>
      </c>
      <c r="C8" s="57">
        <f>COUNTIFS('My trades'!C:C,B8,'My trades'!E:E,'Number of Trades Exchanged'!$C$5)</f>
        <v>0</v>
      </c>
      <c r="D8" s="53">
        <f>COUNTIFS('My trades'!C:C,B8,'My trades'!E:E,$D$5)</f>
        <v>2</v>
      </c>
      <c r="E8" s="53">
        <f>COUNTIFS('My trades'!C:C,B8,'My trades'!E:E,'Number of Trades Exchanged'!$E$5)</f>
        <v>0</v>
      </c>
      <c r="F8" s="53">
        <f>COUNTIFS('My trades'!C:C,B8,'My trades'!E:E,'Number of Trades Exchanged'!$F$5)</f>
        <v>0</v>
      </c>
      <c r="G8" s="53">
        <f>COUNTIFS('My trades'!C:C,B8,'My trades'!E:E,'Number of Trades Exchanged'!$G$5)</f>
        <v>2</v>
      </c>
      <c r="H8" s="53">
        <f>COUNTIFS('My trades'!C:C,B8,'My trades'!E:E,'Number of Trades Exchanged'!$H$5)</f>
        <v>2</v>
      </c>
      <c r="I8" s="53">
        <f>COUNTIFS('My trades'!C:C,B8,'My trades'!E:E,'Number of Trades Exchanged'!$I$5)</f>
        <v>0</v>
      </c>
      <c r="J8" s="53">
        <f>COUNTIFS('My trades'!C:C,B8,'My trades'!E:E,'Number of Trades Exchanged'!$J$5)</f>
        <v>0</v>
      </c>
      <c r="K8" s="53">
        <f>COUNTIFS('My trades'!C:C,B8,'My trades'!E:E,'Number of Trades Exchanged'!$K$5)</f>
        <v>0</v>
      </c>
      <c r="L8" s="53">
        <f>COUNTIFS('My trades'!C:C,B8,'My trades'!E:E,'Number of Trades Exchanged'!$L$5)</f>
        <v>2</v>
      </c>
      <c r="M8" s="60">
        <f t="shared" si="0"/>
        <v>8</v>
      </c>
    </row>
    <row r="9" spans="1:13" ht="19.8" thickTop="1" thickBot="1">
      <c r="A9" s="55"/>
      <c r="B9" s="27" t="str">
        <v>China</v>
      </c>
      <c r="C9" s="57">
        <f>COUNTIFS('My trades'!C:C,B9,'My trades'!E:E,'Number of Trades Exchanged'!$C$5)</f>
        <v>2</v>
      </c>
      <c r="D9" s="53">
        <f>COUNTIFS('My trades'!C:C,B9,'My trades'!E:E,$D$5)</f>
        <v>1</v>
      </c>
      <c r="E9" s="53">
        <f>COUNTIFS('My trades'!C:C,B9,'My trades'!E:E,'Number of Trades Exchanged'!$E$5)</f>
        <v>1</v>
      </c>
      <c r="F9" s="53">
        <f>COUNTIFS('My trades'!C:C,B9,'My trades'!E:E,'Number of Trades Exchanged'!$F$5)</f>
        <v>6</v>
      </c>
      <c r="G9" s="53">
        <f>COUNTIFS('My trades'!C:C,B9,'My trades'!E:E,'Number of Trades Exchanged'!$G$5)</f>
        <v>1</v>
      </c>
      <c r="H9" s="53">
        <f>COUNTIFS('My trades'!C:C,B9,'My trades'!E:E,'Number of Trades Exchanged'!$H$5)</f>
        <v>2</v>
      </c>
      <c r="I9" s="53">
        <f>COUNTIFS('My trades'!C:C,B9,'My trades'!E:E,'Number of Trades Exchanged'!$I$5)</f>
        <v>0</v>
      </c>
      <c r="J9" s="53">
        <f>COUNTIFS('My trades'!C:C,B9,'My trades'!E:E,'Number of Trades Exchanged'!$J$5)</f>
        <v>1</v>
      </c>
      <c r="K9" s="53">
        <f>COUNTIFS('My trades'!C:C,B9,'My trades'!E:E,'Number of Trades Exchanged'!$K$5)</f>
        <v>2</v>
      </c>
      <c r="L9" s="53">
        <f>COUNTIFS('My trades'!C:C,B9,'My trades'!E:E,'Number of Trades Exchanged'!$L$5)</f>
        <v>0</v>
      </c>
      <c r="M9" s="60">
        <f t="shared" si="0"/>
        <v>16</v>
      </c>
    </row>
    <row r="10" spans="1:13" ht="19.8" thickTop="1" thickBot="1">
      <c r="A10" s="55"/>
      <c r="B10" s="27" t="str">
        <v>Europe</v>
      </c>
      <c r="C10" s="57">
        <f>COUNTIFS('My trades'!C:C,B10,'My trades'!E:E,'Number of Trades Exchanged'!$C$5)</f>
        <v>3</v>
      </c>
      <c r="D10" s="53">
        <f>COUNTIFS('My trades'!C:C,B10,'My trades'!E:E,$D$5)</f>
        <v>1</v>
      </c>
      <c r="E10" s="53">
        <f>COUNTIFS('My trades'!C:C,B10,'My trades'!E:E,'Number of Trades Exchanged'!$E$5)</f>
        <v>2</v>
      </c>
      <c r="F10" s="53">
        <f>COUNTIFS('My trades'!C:C,B10,'My trades'!E:E,'Number of Trades Exchanged'!$F$5)</f>
        <v>3</v>
      </c>
      <c r="G10" s="53">
        <f>COUNTIFS('My trades'!C:C,B10,'My trades'!E:E,'Number of Trades Exchanged'!$G$5)</f>
        <v>2</v>
      </c>
      <c r="H10" s="53">
        <f>COUNTIFS('My trades'!C:C,B10,'My trades'!E:E,'Number of Trades Exchanged'!$H$5)</f>
        <v>3</v>
      </c>
      <c r="I10" s="53">
        <f>COUNTIFS('My trades'!C:C,B10,'My trades'!E:E,'Number of Trades Exchanged'!$I$5)</f>
        <v>0</v>
      </c>
      <c r="J10" s="53">
        <f>COUNTIFS('My trades'!C:C,B10,'My trades'!E:E,'Number of Trades Exchanged'!$J$5)</f>
        <v>0</v>
      </c>
      <c r="K10" s="53">
        <f>COUNTIFS('My trades'!C:C,B10,'My trades'!E:E,'Number of Trades Exchanged'!$K$5)</f>
        <v>1</v>
      </c>
      <c r="L10" s="53">
        <f>COUNTIFS('My trades'!C:C,B10,'My trades'!E:E,'Number of Trades Exchanged'!$L$5)</f>
        <v>1</v>
      </c>
      <c r="M10" s="60">
        <f t="shared" si="0"/>
        <v>16</v>
      </c>
    </row>
    <row r="11" spans="1:13" ht="19.8" thickTop="1" thickBot="1">
      <c r="A11" s="55"/>
      <c r="B11" s="27" t="str">
        <v>Germany</v>
      </c>
      <c r="C11" s="57">
        <f>COUNTIFS('My trades'!C:C,B11,'My trades'!E:E,'Number of Trades Exchanged'!$C$5)</f>
        <v>1</v>
      </c>
      <c r="D11" s="53">
        <f>COUNTIFS('My trades'!C:C,B11,'My trades'!E:E,$D$5)</f>
        <v>1</v>
      </c>
      <c r="E11" s="53">
        <f>COUNTIFS('My trades'!C:C,B11,'My trades'!E:E,'Number of Trades Exchanged'!$E$5)</f>
        <v>3</v>
      </c>
      <c r="F11" s="53">
        <f>COUNTIFS('My trades'!C:C,B11,'My trades'!E:E,'Number of Trades Exchanged'!$F$5)</f>
        <v>0</v>
      </c>
      <c r="G11" s="53">
        <f>COUNTIFS('My trades'!C:C,B11,'My trades'!E:E,'Number of Trades Exchanged'!$G$5)</f>
        <v>4</v>
      </c>
      <c r="H11" s="53">
        <f>COUNTIFS('My trades'!C:C,B11,'My trades'!E:E,'Number of Trades Exchanged'!$H$5)</f>
        <v>4</v>
      </c>
      <c r="I11" s="53">
        <f>COUNTIFS('My trades'!C:C,B11,'My trades'!E:E,'Number of Trades Exchanged'!$I$5)</f>
        <v>1</v>
      </c>
      <c r="J11" s="53">
        <f>COUNTIFS('My trades'!C:C,B11,'My trades'!E:E,'Number of Trades Exchanged'!$J$5)</f>
        <v>0</v>
      </c>
      <c r="K11" s="53">
        <f>COUNTIFS('My trades'!C:C,B11,'My trades'!E:E,'Number of Trades Exchanged'!$K$5)</f>
        <v>2</v>
      </c>
      <c r="L11" s="53">
        <f>COUNTIFS('My trades'!C:C,B11,'My trades'!E:E,'Number of Trades Exchanged'!$L$5)</f>
        <v>0</v>
      </c>
      <c r="M11" s="60">
        <f t="shared" si="0"/>
        <v>16</v>
      </c>
    </row>
    <row r="12" spans="1:13" ht="19.8" thickTop="1" thickBot="1">
      <c r="A12" s="55"/>
      <c r="B12" s="27" t="str">
        <v>Hong Kong</v>
      </c>
      <c r="C12" s="57">
        <f>COUNTIFS('My trades'!C:C,B12,'My trades'!E:E,'Number of Trades Exchanged'!$C$5)</f>
        <v>0</v>
      </c>
      <c r="D12" s="53">
        <f>COUNTIFS('My trades'!C:C,B12,'My trades'!E:E,$D$5)</f>
        <v>0</v>
      </c>
      <c r="E12" s="53">
        <f>COUNTIFS('My trades'!C:C,B12,'My trades'!E:E,'Number of Trades Exchanged'!$E$5)</f>
        <v>0</v>
      </c>
      <c r="F12" s="53">
        <f>COUNTIFS('My trades'!C:C,B12,'My trades'!E:E,'Number of Trades Exchanged'!$F$5)</f>
        <v>0</v>
      </c>
      <c r="G12" s="53">
        <f>COUNTIFS('My trades'!C:C,B12,'My trades'!E:E,'Number of Trades Exchanged'!$G$5)</f>
        <v>3</v>
      </c>
      <c r="H12" s="53">
        <f>COUNTIFS('My trades'!C:C,B12,'My trades'!E:E,'Number of Trades Exchanged'!$H$5)</f>
        <v>1</v>
      </c>
      <c r="I12" s="53">
        <f>COUNTIFS('My trades'!C:C,B12,'My trades'!E:E,'Number of Trades Exchanged'!$I$5)</f>
        <v>2</v>
      </c>
      <c r="J12" s="53">
        <f>COUNTIFS('My trades'!C:C,B12,'My trades'!E:E,'Number of Trades Exchanged'!$J$5)</f>
        <v>0</v>
      </c>
      <c r="K12" s="53">
        <f>COUNTIFS('My trades'!C:C,B12,'My trades'!E:E,'Number of Trades Exchanged'!$K$5)</f>
        <v>1</v>
      </c>
      <c r="L12" s="53">
        <f>COUNTIFS('My trades'!C:C,B12,'My trades'!E:E,'Number of Trades Exchanged'!$L$5)</f>
        <v>1</v>
      </c>
      <c r="M12" s="60">
        <f t="shared" si="0"/>
        <v>8</v>
      </c>
    </row>
    <row r="13" spans="1:13" ht="19.8" thickTop="1" thickBot="1">
      <c r="A13" s="55"/>
      <c r="B13" s="27" t="str">
        <v>India</v>
      </c>
      <c r="C13" s="57">
        <f>COUNTIFS('My trades'!C:C,B13,'My trades'!E:E,'Number of Trades Exchanged'!$C$5)</f>
        <v>4</v>
      </c>
      <c r="D13" s="53">
        <f>COUNTIFS('My trades'!C:C,B13,'My trades'!E:E,$D$5)</f>
        <v>4</v>
      </c>
      <c r="E13" s="53">
        <f>COUNTIFS('My trades'!C:C,B13,'My trades'!E:E,'Number of Trades Exchanged'!$E$5)</f>
        <v>4</v>
      </c>
      <c r="F13" s="53">
        <f>COUNTIFS('My trades'!C:C,B13,'My trades'!E:E,'Number of Trades Exchanged'!$F$5)</f>
        <v>1</v>
      </c>
      <c r="G13" s="53">
        <f>COUNTIFS('My trades'!C:C,B13,'My trades'!E:E,'Number of Trades Exchanged'!$G$5)</f>
        <v>1</v>
      </c>
      <c r="H13" s="53">
        <f>COUNTIFS('My trades'!C:C,B13,'My trades'!E:E,'Number of Trades Exchanged'!$H$5)</f>
        <v>3</v>
      </c>
      <c r="I13" s="53">
        <f>COUNTIFS('My trades'!C:C,B13,'My trades'!E:E,'Number of Trades Exchanged'!$I$5)</f>
        <v>2</v>
      </c>
      <c r="J13" s="53">
        <f>COUNTIFS('My trades'!C:C,B13,'My trades'!E:E,'Number of Trades Exchanged'!$J$5)</f>
        <v>1</v>
      </c>
      <c r="K13" s="53">
        <f>COUNTIFS('My trades'!C:C,B13,'My trades'!E:E,'Number of Trades Exchanged'!$K$5)</f>
        <v>2</v>
      </c>
      <c r="L13" s="53">
        <f>COUNTIFS('My trades'!C:C,B13,'My trades'!E:E,'Number of Trades Exchanged'!$L$5)</f>
        <v>2</v>
      </c>
      <c r="M13" s="60">
        <f t="shared" si="0"/>
        <v>24</v>
      </c>
    </row>
    <row r="14" spans="1:13" ht="19.8" thickTop="1" thickBot="1">
      <c r="A14" s="55"/>
      <c r="B14" s="27" t="str">
        <v>Iran</v>
      </c>
      <c r="C14" s="57">
        <f>COUNTIFS('My trades'!C:C,B14,'My trades'!E:E,'Number of Trades Exchanged'!$C$5)</f>
        <v>0</v>
      </c>
      <c r="D14" s="53">
        <f>COUNTIFS('My trades'!C:C,B14,'My trades'!E:E,$D$5)</f>
        <v>2</v>
      </c>
      <c r="E14" s="53">
        <f>COUNTIFS('My trades'!C:C,B14,'My trades'!E:E,'Number of Trades Exchanged'!$E$5)</f>
        <v>1</v>
      </c>
      <c r="F14" s="53">
        <f>COUNTIFS('My trades'!C:C,B14,'My trades'!E:E,'Number of Trades Exchanged'!$F$5)</f>
        <v>1</v>
      </c>
      <c r="G14" s="53">
        <f>COUNTIFS('My trades'!C:C,B14,'My trades'!E:E,'Number of Trades Exchanged'!$G$5)</f>
        <v>1</v>
      </c>
      <c r="H14" s="53">
        <f>COUNTIFS('My trades'!C:C,B14,'My trades'!E:E,'Number of Trades Exchanged'!$H$5)</f>
        <v>1</v>
      </c>
      <c r="I14" s="53">
        <f>COUNTIFS('My trades'!C:C,B14,'My trades'!E:E,'Number of Trades Exchanged'!$I$5)</f>
        <v>0</v>
      </c>
      <c r="J14" s="53">
        <f>COUNTIFS('My trades'!C:C,B14,'My trades'!E:E,'Number of Trades Exchanged'!$J$5)</f>
        <v>1</v>
      </c>
      <c r="K14" s="53">
        <f>COUNTIFS('My trades'!C:C,B14,'My trades'!E:E,'Number of Trades Exchanged'!$K$5)</f>
        <v>0</v>
      </c>
      <c r="L14" s="53">
        <f>COUNTIFS('My trades'!C:C,B14,'My trades'!E:E,'Number of Trades Exchanged'!$L$5)</f>
        <v>1</v>
      </c>
      <c r="M14" s="60">
        <f t="shared" si="0"/>
        <v>8</v>
      </c>
    </row>
    <row r="15" spans="1:13" ht="19.8" thickTop="1" thickBot="1">
      <c r="A15" s="55"/>
      <c r="B15" s="27" t="str">
        <v>Japan</v>
      </c>
      <c r="C15" s="57">
        <f>COUNTIFS('My trades'!C:C,B15,'My trades'!E:E,'Number of Trades Exchanged'!$C$5)</f>
        <v>1</v>
      </c>
      <c r="D15" s="53">
        <f>COUNTIFS('My trades'!C:C,B15,'My trades'!E:E,$D$5)</f>
        <v>1</v>
      </c>
      <c r="E15" s="53">
        <f>COUNTIFS('My trades'!C:C,B15,'My trades'!E:E,'Number of Trades Exchanged'!$E$5)</f>
        <v>1</v>
      </c>
      <c r="F15" s="53">
        <f>COUNTIFS('My trades'!C:C,B15,'My trades'!E:E,'Number of Trades Exchanged'!$F$5)</f>
        <v>0</v>
      </c>
      <c r="G15" s="53">
        <f>COUNTIFS('My trades'!C:C,B15,'My trades'!E:E,'Number of Trades Exchanged'!$G$5)</f>
        <v>0</v>
      </c>
      <c r="H15" s="53">
        <f>COUNTIFS('My trades'!C:C,B15,'My trades'!E:E,'Number of Trades Exchanged'!$H$5)</f>
        <v>2</v>
      </c>
      <c r="I15" s="53">
        <f>COUNTIFS('My trades'!C:C,B15,'My trades'!E:E,'Number of Trades Exchanged'!$I$5)</f>
        <v>0</v>
      </c>
      <c r="J15" s="53">
        <f>COUNTIFS('My trades'!C:C,B15,'My trades'!E:E,'Number of Trades Exchanged'!$J$5)</f>
        <v>2</v>
      </c>
      <c r="K15" s="53">
        <f>COUNTIFS('My trades'!C:C,B15,'My trades'!E:E,'Number of Trades Exchanged'!$K$5)</f>
        <v>1</v>
      </c>
      <c r="L15" s="53">
        <f>COUNTIFS('My trades'!C:C,B15,'My trades'!E:E,'Number of Trades Exchanged'!$L$5)</f>
        <v>0</v>
      </c>
      <c r="M15" s="60">
        <f t="shared" si="0"/>
        <v>8</v>
      </c>
    </row>
    <row r="16" spans="1:13" ht="19.8" thickTop="1" thickBot="1">
      <c r="A16" s="55"/>
      <c r="B16" s="27" t="str">
        <v>Saudi Arabia</v>
      </c>
      <c r="C16" s="57">
        <f>COUNTIFS('My trades'!C:C,B16,'My trades'!E:E,'Number of Trades Exchanged'!$C$5)</f>
        <v>1</v>
      </c>
      <c r="D16" s="53">
        <f>COUNTIFS('My trades'!C:C,B16,'My trades'!E:E,$D$5)</f>
        <v>2</v>
      </c>
      <c r="E16" s="53">
        <f>COUNTIFS('My trades'!C:C,B16,'My trades'!E:E,'Number of Trades Exchanged'!$E$5)</f>
        <v>0</v>
      </c>
      <c r="F16" s="53">
        <f>COUNTIFS('My trades'!C:C,B16,'My trades'!E:E,'Number of Trades Exchanged'!$F$5)</f>
        <v>0</v>
      </c>
      <c r="G16" s="53">
        <f>COUNTIFS('My trades'!C:C,B16,'My trades'!E:E,'Number of Trades Exchanged'!$G$5)</f>
        <v>2</v>
      </c>
      <c r="H16" s="53">
        <f>COUNTIFS('My trades'!C:C,B16,'My trades'!E:E,'Number of Trades Exchanged'!$H$5)</f>
        <v>1</v>
      </c>
      <c r="I16" s="53">
        <f>COUNTIFS('My trades'!C:C,B16,'My trades'!E:E,'Number of Trades Exchanged'!$I$5)</f>
        <v>2</v>
      </c>
      <c r="J16" s="53">
        <f>COUNTIFS('My trades'!C:C,B16,'My trades'!E:E,'Number of Trades Exchanged'!$J$5)</f>
        <v>0</v>
      </c>
      <c r="K16" s="53">
        <f>COUNTIFS('My trades'!C:C,B16,'My trades'!E:E,'Number of Trades Exchanged'!$K$5)</f>
        <v>0</v>
      </c>
      <c r="L16" s="53">
        <f>COUNTIFS('My trades'!C:C,B16,'My trades'!E:E,'Number of Trades Exchanged'!$L$5)</f>
        <v>0</v>
      </c>
      <c r="M16" s="60">
        <f t="shared" si="0"/>
        <v>8</v>
      </c>
    </row>
    <row r="17" spans="1:20" ht="19.8" thickTop="1" thickBot="1">
      <c r="A17" s="55"/>
      <c r="B17" s="27" t="str">
        <v>South Africa</v>
      </c>
      <c r="C17" s="57">
        <f>COUNTIFS('My trades'!C:C,B17,'My trades'!E:E,'Number of Trades Exchanged'!$C$5)</f>
        <v>2</v>
      </c>
      <c r="D17" s="53">
        <f>COUNTIFS('My trades'!C:C,B17,'My trades'!E:E,$D$5)</f>
        <v>0</v>
      </c>
      <c r="E17" s="53">
        <f>COUNTIFS('My trades'!C:C,B17,'My trades'!E:E,'Number of Trades Exchanged'!$E$5)</f>
        <v>1</v>
      </c>
      <c r="F17" s="53">
        <f>COUNTIFS('My trades'!C:C,B17,'My trades'!E:E,'Number of Trades Exchanged'!$F$5)</f>
        <v>2</v>
      </c>
      <c r="G17" s="53">
        <f>COUNTIFS('My trades'!C:C,B17,'My trades'!E:E,'Number of Trades Exchanged'!$G$5)</f>
        <v>1</v>
      </c>
      <c r="H17" s="53">
        <f>COUNTIFS('My trades'!C:C,B17,'My trades'!E:E,'Number of Trades Exchanged'!$H$5)</f>
        <v>1</v>
      </c>
      <c r="I17" s="53">
        <f>COUNTIFS('My trades'!C:C,B17,'My trades'!E:E,'Number of Trades Exchanged'!$I$5)</f>
        <v>0</v>
      </c>
      <c r="J17" s="53">
        <f>COUNTIFS('My trades'!C:C,B17,'My trades'!E:E,'Number of Trades Exchanged'!$J$5)</f>
        <v>0</v>
      </c>
      <c r="K17" s="53">
        <f>COUNTIFS('My trades'!C:C,B17,'My trades'!E:E,'Number of Trades Exchanged'!$K$5)</f>
        <v>0</v>
      </c>
      <c r="L17" s="53">
        <f>COUNTIFS('My trades'!C:C,B17,'My trades'!E:E,'Number of Trades Exchanged'!$L$5)</f>
        <v>1</v>
      </c>
      <c r="M17" s="60">
        <f t="shared" si="0"/>
        <v>8</v>
      </c>
    </row>
    <row r="18" spans="1:20" ht="19.8" thickTop="1" thickBot="1">
      <c r="A18" s="55"/>
      <c r="B18" s="27" t="str">
        <v>South Korea</v>
      </c>
      <c r="C18" s="57">
        <f>COUNTIFS('My trades'!C:C,B18,'My trades'!E:E,'Number of Trades Exchanged'!$C$5)</f>
        <v>2</v>
      </c>
      <c r="D18" s="53">
        <f>COUNTIFS('My trades'!C:C,B18,'My trades'!E:E,$D$5)</f>
        <v>0</v>
      </c>
      <c r="E18" s="53">
        <f>COUNTIFS('My trades'!C:C,B18,'My trades'!E:E,'Number of Trades Exchanged'!$E$5)</f>
        <v>2</v>
      </c>
      <c r="F18" s="53">
        <f>COUNTIFS('My trades'!C:C,B18,'My trades'!E:E,'Number of Trades Exchanged'!$F$5)</f>
        <v>0</v>
      </c>
      <c r="G18" s="53">
        <f>COUNTIFS('My trades'!C:C,B18,'My trades'!E:E,'Number of Trades Exchanged'!$G$5)</f>
        <v>0</v>
      </c>
      <c r="H18" s="53">
        <f>COUNTIFS('My trades'!C:C,B18,'My trades'!E:E,'Number of Trades Exchanged'!$H$5)</f>
        <v>1</v>
      </c>
      <c r="I18" s="53">
        <f>COUNTIFS('My trades'!C:C,B18,'My trades'!E:E,'Number of Trades Exchanged'!$I$5)</f>
        <v>2</v>
      </c>
      <c r="J18" s="53">
        <f>COUNTIFS('My trades'!C:C,B18,'My trades'!E:E,'Number of Trades Exchanged'!$J$5)</f>
        <v>1</v>
      </c>
      <c r="K18" s="53">
        <f>COUNTIFS('My trades'!C:C,B18,'My trades'!E:E,'Number of Trades Exchanged'!$K$5)</f>
        <v>0</v>
      </c>
      <c r="L18" s="53">
        <f>COUNTIFS('My trades'!C:C,B18,'My trades'!E:E,'Number of Trades Exchanged'!$L$5)</f>
        <v>0</v>
      </c>
      <c r="M18" s="60">
        <f t="shared" si="0"/>
        <v>8</v>
      </c>
    </row>
    <row r="19" spans="1:20" ht="19.8" thickTop="1" thickBot="1">
      <c r="A19" s="55"/>
      <c r="B19" s="27" t="str">
        <v>Switzerland</v>
      </c>
      <c r="C19" s="57">
        <f>COUNTIFS('My trades'!C:C,B19,'My trades'!E:E,'Number of Trades Exchanged'!$C$5)</f>
        <v>2</v>
      </c>
      <c r="D19" s="53">
        <f>COUNTIFS('My trades'!C:C,B19,'My trades'!E:E,$D$5)</f>
        <v>0</v>
      </c>
      <c r="E19" s="53">
        <f>COUNTIFS('My trades'!C:C,B19,'My trades'!E:E,'Number of Trades Exchanged'!$E$5)</f>
        <v>0</v>
      </c>
      <c r="F19" s="53">
        <f>COUNTIFS('My trades'!C:C,B19,'My trades'!E:E,'Number of Trades Exchanged'!$F$5)</f>
        <v>0</v>
      </c>
      <c r="G19" s="53">
        <f>COUNTIFS('My trades'!C:C,B19,'My trades'!E:E,'Number of Trades Exchanged'!$G$5)</f>
        <v>0</v>
      </c>
      <c r="H19" s="53">
        <f>COUNTIFS('My trades'!C:C,B19,'My trades'!E:E,'Number of Trades Exchanged'!$H$5)</f>
        <v>2</v>
      </c>
      <c r="I19" s="53">
        <f>COUNTIFS('My trades'!C:C,B19,'My trades'!E:E,'Number of Trades Exchanged'!$I$5)</f>
        <v>0</v>
      </c>
      <c r="J19" s="53">
        <f>COUNTIFS('My trades'!C:C,B19,'My trades'!E:E,'Number of Trades Exchanged'!$J$5)</f>
        <v>2</v>
      </c>
      <c r="K19" s="53">
        <f>COUNTIFS('My trades'!C:C,B19,'My trades'!E:E,'Number of Trades Exchanged'!$K$5)</f>
        <v>1</v>
      </c>
      <c r="L19" s="53">
        <f>COUNTIFS('My trades'!C:C,B19,'My trades'!E:E,'Number of Trades Exchanged'!$L$5)</f>
        <v>1</v>
      </c>
      <c r="M19" s="60">
        <f t="shared" si="0"/>
        <v>8</v>
      </c>
    </row>
    <row r="20" spans="1:20" ht="19.8" thickTop="1" thickBot="1">
      <c r="A20" s="55"/>
      <c r="B20" s="27" t="str">
        <v>Taiwan</v>
      </c>
      <c r="C20" s="57">
        <f>COUNTIFS('My trades'!C:C,B20,'My trades'!E:E,'Number of Trades Exchanged'!$C$5)</f>
        <v>0</v>
      </c>
      <c r="D20" s="53">
        <f>COUNTIFS('My trades'!C:C,B20,'My trades'!E:E,$D$5)</f>
        <v>0</v>
      </c>
      <c r="E20" s="53">
        <f>COUNTIFS('My trades'!C:C,B20,'My trades'!E:E,'Number of Trades Exchanged'!$E$5)</f>
        <v>1</v>
      </c>
      <c r="F20" s="53">
        <f>COUNTIFS('My trades'!C:C,B20,'My trades'!E:E,'Number of Trades Exchanged'!$F$5)</f>
        <v>1</v>
      </c>
      <c r="G20" s="53">
        <f>COUNTIFS('My trades'!C:C,B20,'My trades'!E:E,'Number of Trades Exchanged'!$G$5)</f>
        <v>1</v>
      </c>
      <c r="H20" s="53">
        <f>COUNTIFS('My trades'!C:C,B20,'My trades'!E:E,'Number of Trades Exchanged'!$H$5)</f>
        <v>0</v>
      </c>
      <c r="I20" s="53">
        <f>COUNTIFS('My trades'!C:C,B20,'My trades'!E:E,'Number of Trades Exchanged'!$I$5)</f>
        <v>1</v>
      </c>
      <c r="J20" s="53">
        <f>COUNTIFS('My trades'!C:C,B20,'My trades'!E:E,'Number of Trades Exchanged'!$J$5)</f>
        <v>0</v>
      </c>
      <c r="K20" s="53">
        <f>COUNTIFS('My trades'!C:C,B20,'My trades'!E:E,'Number of Trades Exchanged'!$K$5)</f>
        <v>2</v>
      </c>
      <c r="L20" s="53">
        <f>COUNTIFS('My trades'!C:C,B20,'My trades'!E:E,'Number of Trades Exchanged'!$L$5)</f>
        <v>2</v>
      </c>
      <c r="M20" s="60">
        <f t="shared" si="0"/>
        <v>8</v>
      </c>
    </row>
    <row r="21" spans="1:20" ht="19.8" thickTop="1" thickBot="1">
      <c r="A21" s="55"/>
      <c r="B21" s="27" t="str">
        <v>United Kingdom</v>
      </c>
      <c r="C21" s="57">
        <f>COUNTIFS('My trades'!C:C,B21,'My trades'!E:E,'Number of Trades Exchanged'!$C$5)</f>
        <v>1</v>
      </c>
      <c r="D21" s="53">
        <f>COUNTIFS('My trades'!C:C,B21,'My trades'!E:E,$D$5)</f>
        <v>2</v>
      </c>
      <c r="E21" s="53">
        <f>COUNTIFS('My trades'!C:C,B21,'My trades'!E:E,'Number of Trades Exchanged'!$E$5)</f>
        <v>0</v>
      </c>
      <c r="F21" s="53">
        <f>COUNTIFS('My trades'!C:C,B21,'My trades'!E:E,'Number of Trades Exchanged'!$F$5)</f>
        <v>1</v>
      </c>
      <c r="G21" s="53">
        <f>COUNTIFS('My trades'!C:C,B21,'My trades'!E:E,'Number of Trades Exchanged'!$G$5)</f>
        <v>0</v>
      </c>
      <c r="H21" s="53">
        <f>COUNTIFS('My trades'!C:C,B21,'My trades'!E:E,'Number of Trades Exchanged'!$H$5)</f>
        <v>1</v>
      </c>
      <c r="I21" s="53">
        <f>COUNTIFS('My trades'!C:C,B21,'My trades'!E:E,'Number of Trades Exchanged'!$I$5)</f>
        <v>2</v>
      </c>
      <c r="J21" s="53">
        <f>COUNTIFS('My trades'!C:C,B21,'My trades'!E:E,'Number of Trades Exchanged'!$J$5)</f>
        <v>0</v>
      </c>
      <c r="K21" s="53">
        <f>COUNTIFS('My trades'!C:C,B21,'My trades'!E:E,'Number of Trades Exchanged'!$K$5)</f>
        <v>1</v>
      </c>
      <c r="L21" s="53">
        <f>COUNTIFS('My trades'!C:C,B21,'My trades'!E:E,'Number of Trades Exchanged'!$L$5)</f>
        <v>0</v>
      </c>
      <c r="M21" s="60">
        <f t="shared" si="0"/>
        <v>8</v>
      </c>
    </row>
    <row r="22" spans="1:20" ht="19.8" thickTop="1" thickBot="1">
      <c r="A22" s="56"/>
      <c r="B22" s="27" t="str">
        <v>United States</v>
      </c>
      <c r="C22" s="57">
        <f>COUNTIFS('My trades'!C:C,B22,'My trades'!E:E,'Number of Trades Exchanged'!$C$5)</f>
        <v>2</v>
      </c>
      <c r="D22" s="53">
        <f>COUNTIFS('My trades'!C:C,B22,'My trades'!E:E,$D$5)</f>
        <v>1</v>
      </c>
      <c r="E22" s="53">
        <f>COUNTIFS('My trades'!C:C,B22,'My trades'!E:E,'Number of Trades Exchanged'!$E$5)</f>
        <v>3</v>
      </c>
      <c r="F22" s="53">
        <f>COUNTIFS('My trades'!C:C,B22,'My trades'!E:E,'Number of Trades Exchanged'!$F$5)</f>
        <v>2</v>
      </c>
      <c r="G22" s="53">
        <f>COUNTIFS('My trades'!C:C,B22,'My trades'!E:E,'Number of Trades Exchanged'!$G$5)</f>
        <v>0</v>
      </c>
      <c r="H22" s="53">
        <f>COUNTIFS('My trades'!C:C,B22,'My trades'!E:E,'Number of Trades Exchanged'!$H$5)</f>
        <v>1</v>
      </c>
      <c r="I22" s="53">
        <f>COUNTIFS('My trades'!C:C,B22,'My trades'!E:E,'Number of Trades Exchanged'!$I$5)</f>
        <v>1</v>
      </c>
      <c r="J22" s="53">
        <f>COUNTIFS('My trades'!C:C,B22,'My trades'!E:E,'Number of Trades Exchanged'!$J$5)</f>
        <v>3</v>
      </c>
      <c r="K22" s="53">
        <f>COUNTIFS('My trades'!C:C,B22,'My trades'!E:E,'Number of Trades Exchanged'!$K$5)</f>
        <v>0</v>
      </c>
      <c r="L22" s="53">
        <f>COUNTIFS('My trades'!C:C,B22,'My trades'!E:E,'Number of Trades Exchanged'!$L$5)</f>
        <v>3</v>
      </c>
      <c r="M22" s="60">
        <f t="shared" si="0"/>
        <v>16</v>
      </c>
    </row>
    <row r="23" spans="1:20" ht="19.8" thickTop="1" thickBot="1">
      <c r="B23" s="58" t="s">
        <v>255</v>
      </c>
      <c r="C23" s="59">
        <f>SUM(C6:C22)</f>
        <v>26</v>
      </c>
      <c r="D23" s="60">
        <f>SUM(D6:D22)</f>
        <v>22</v>
      </c>
      <c r="E23" s="60">
        <f t="shared" ref="E23:L23" si="1">SUM(E6:E22)</f>
        <v>21</v>
      </c>
      <c r="F23" s="60">
        <f t="shared" si="1"/>
        <v>18</v>
      </c>
      <c r="G23" s="60">
        <f t="shared" si="1"/>
        <v>21</v>
      </c>
      <c r="H23" s="60">
        <f t="shared" si="1"/>
        <v>27</v>
      </c>
      <c r="I23" s="60">
        <f t="shared" si="1"/>
        <v>20</v>
      </c>
      <c r="J23" s="60">
        <f t="shared" si="1"/>
        <v>14</v>
      </c>
      <c r="K23" s="60">
        <f t="shared" si="1"/>
        <v>15</v>
      </c>
      <c r="L23" s="60">
        <f t="shared" si="1"/>
        <v>16</v>
      </c>
      <c r="M23" s="60">
        <f>SUM(M6:M22)</f>
        <v>200</v>
      </c>
      <c r="Q23" s="67" t="s">
        <v>259</v>
      </c>
      <c r="R23" s="68"/>
      <c r="S23" s="68"/>
      <c r="T23" s="69"/>
    </row>
    <row r="24" spans="1:20" ht="13.8" thickTop="1">
      <c r="Q24" s="70"/>
      <c r="R24" s="71"/>
      <c r="S24" s="71"/>
      <c r="T24" s="72"/>
    </row>
    <row r="25" spans="1:20" ht="13.8" thickBot="1">
      <c r="Q25" s="73"/>
      <c r="R25" s="74"/>
      <c r="S25" s="74"/>
      <c r="T25" s="75"/>
    </row>
    <row r="26" spans="1:20">
      <c r="Q26" s="63" t="s">
        <v>256</v>
      </c>
      <c r="R26" s="63"/>
      <c r="S26" s="63"/>
      <c r="T26" s="64">
        <v>2</v>
      </c>
    </row>
    <row r="27" spans="1:20">
      <c r="Q27" s="65" t="s">
        <v>257</v>
      </c>
      <c r="R27" s="65"/>
      <c r="S27" s="65"/>
      <c r="T27" s="46">
        <f>T26/M23</f>
        <v>0.01</v>
      </c>
    </row>
    <row r="28" spans="1:20">
      <c r="Q28" s="65" t="s">
        <v>258</v>
      </c>
      <c r="R28" s="65"/>
      <c r="S28" s="65"/>
      <c r="T28" s="66">
        <v>5.0000000000000001E-3</v>
      </c>
    </row>
    <row r="29" spans="1:20" ht="13.8" thickBot="1"/>
    <row r="30" spans="1:20" ht="13.2" customHeight="1">
      <c r="Q30" s="67" t="s">
        <v>260</v>
      </c>
      <c r="R30" s="68"/>
      <c r="S30" s="68"/>
      <c r="T30" s="69"/>
    </row>
    <row r="31" spans="1:20">
      <c r="Q31" s="70"/>
      <c r="R31" s="71"/>
      <c r="S31" s="71"/>
      <c r="T31" s="72"/>
    </row>
    <row r="32" spans="1:20" ht="13.8" thickBot="1">
      <c r="Q32" s="73"/>
      <c r="R32" s="74"/>
      <c r="S32" s="74"/>
      <c r="T32" s="75"/>
    </row>
    <row r="33" spans="17:20">
      <c r="Q33" s="63" t="s">
        <v>261</v>
      </c>
      <c r="R33" s="63"/>
      <c r="S33" s="63"/>
      <c r="T33" s="64">
        <f>SUM(M12,M9,M13,M14,M15,M16,M17,M18,M20)</f>
        <v>96</v>
      </c>
    </row>
    <row r="34" spans="17:20">
      <c r="Q34" s="65" t="s">
        <v>257</v>
      </c>
      <c r="R34" s="65"/>
      <c r="S34" s="65"/>
      <c r="T34" s="46">
        <f>T33/M23</f>
        <v>0.48</v>
      </c>
    </row>
    <row r="35" spans="17:20">
      <c r="Q35" s="65" t="s">
        <v>258</v>
      </c>
      <c r="R35" s="65"/>
      <c r="S35" s="65"/>
      <c r="T35" s="66">
        <v>0.48</v>
      </c>
    </row>
  </sheetData>
  <mergeCells count="10">
    <mergeCell ref="Q28:S28"/>
    <mergeCell ref="Q23:T25"/>
    <mergeCell ref="Q30:T32"/>
    <mergeCell ref="Q33:S33"/>
    <mergeCell ref="Q34:S34"/>
    <mergeCell ref="Q35:S35"/>
    <mergeCell ref="A6:A22"/>
    <mergeCell ref="C3:L4"/>
    <mergeCell ref="Q26:S26"/>
    <mergeCell ref="Q27:S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 trades</vt:lpstr>
      <vt:lpstr>Stock Exchanges</vt:lpstr>
      <vt:lpstr>Profit Insights</vt:lpstr>
      <vt:lpstr>Number of Trades Exchanged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abderahmane lakbuichy</cp:lastModifiedBy>
  <cp:revision/>
  <dcterms:created xsi:type="dcterms:W3CDTF">2023-05-26T15:43:04Z</dcterms:created>
  <dcterms:modified xsi:type="dcterms:W3CDTF">2025-07-07T15:50:00Z</dcterms:modified>
  <cp:category/>
  <cp:contentStatus/>
</cp:coreProperties>
</file>