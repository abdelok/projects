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Abderrahmane\Dropbox\PC\Downloads\PROFESSION  AI\PROGETTI\"/>
    </mc:Choice>
  </mc:AlternateContent>
  <xr:revisionPtr revIDLastSave="0" documentId="13_ncr:1_{E9C86076-1540-4B35-B5D0-E599CB2B9873}" xr6:coauthVersionLast="47" xr6:coauthVersionMax="47" xr10:uidLastSave="{00000000-0000-0000-0000-000000000000}"/>
  <bookViews>
    <workbookView xWindow="-108" yWindow="-108" windowWidth="23256" windowHeight="12456" activeTab="1" xr2:uid="{00000000-000D-0000-FFFF-FFFF00000000}"/>
  </bookViews>
  <sheets>
    <sheet name="Consumer Complaints" sheetId="1" r:id="rId1"/>
    <sheet name="Geographical Insights" sheetId="2" r:id="rId2"/>
    <sheet name="Statistical Insights" sheetId="3" r:id="rId3"/>
  </sheets>
  <definedNames>
    <definedName name="_xlnm._FilterDatabase" localSheetId="0" hidden="1">'Consumer Complaints'!$A$1:$A$202</definedName>
    <definedName name="_xlnm._FilterDatabase" localSheetId="1" hidden="1">'Geographical Insights'!$A$1:$C$101</definedName>
    <definedName name="_xlnm._FilterDatabase" localSheetId="2" hidden="1">'Statistical Insights'!$E$1:$F$46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2" l="1"/>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2" i="2"/>
  <c r="B8" i="3"/>
  <c r="E2" i="3" l="1" a="1"/>
  <c r="E2" i="3" l="1"/>
  <c r="F2" i="3" s="1"/>
  <c r="F3" i="3"/>
  <c r="F11" i="3"/>
  <c r="F19" i="3"/>
  <c r="F27" i="3"/>
  <c r="F35" i="3"/>
  <c r="F43" i="3"/>
  <c r="F4" i="3"/>
  <c r="F12" i="3"/>
  <c r="F20" i="3"/>
  <c r="F28" i="3"/>
  <c r="F44" i="3"/>
  <c r="F5" i="3"/>
  <c r="F13" i="3"/>
  <c r="F21" i="3"/>
  <c r="F29" i="3"/>
  <c r="F37" i="3"/>
  <c r="F45" i="3"/>
  <c r="F24" i="3"/>
  <c r="F40" i="3"/>
  <c r="F42" i="3"/>
  <c r="F6" i="3"/>
  <c r="F14" i="3"/>
  <c r="F22" i="3"/>
  <c r="F30" i="3"/>
  <c r="F38" i="3"/>
  <c r="F46" i="3"/>
  <c r="F8" i="3"/>
  <c r="F7" i="3"/>
  <c r="F15" i="3"/>
  <c r="F23" i="3"/>
  <c r="F31" i="3"/>
  <c r="F39" i="3"/>
  <c r="F16" i="3"/>
  <c r="F32" i="3"/>
  <c r="F36" i="3"/>
  <c r="F9" i="3"/>
  <c r="F17" i="3"/>
  <c r="F25" i="3"/>
  <c r="F33" i="3"/>
  <c r="F41" i="3"/>
  <c r="F10" i="3"/>
  <c r="F18" i="3"/>
  <c r="F26" i="3"/>
  <c r="F34" i="3"/>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2"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2" i="2"/>
  <c r="Q3" i="1" l="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<sst xmlns="http://schemas.openxmlformats.org/spreadsheetml/2006/main" count="2095" uniqueCount="364">
  <si>
    <t>Date received</t>
  </si>
  <si>
    <t>Product</t>
  </si>
  <si>
    <t>Sub-product</t>
  </si>
  <si>
    <t>Issue</t>
  </si>
  <si>
    <t>Sub-issue</t>
  </si>
  <si>
    <t>Credit reporting</t>
  </si>
  <si>
    <t>Incorrect information on credit report</t>
  </si>
  <si>
    <t>Information is not mine</t>
  </si>
  <si>
    <t>Debt collection</t>
  </si>
  <si>
    <t>Other (i.e. phone, health club, etc.)</t>
  </si>
  <si>
    <t>Disclosure verification of debt</t>
  </si>
  <si>
    <t>Not disclosed as an attempt to collect</t>
  </si>
  <si>
    <t>Credit card</t>
  </si>
  <si>
    <t>Other</t>
  </si>
  <si>
    <t>Mortgage</t>
  </si>
  <si>
    <t>Other mortgage</t>
  </si>
  <si>
    <t>Loan modification,collection,foreclosure</t>
  </si>
  <si>
    <t>Credit determination</t>
  </si>
  <si>
    <t>Not given enough info to verify debt</t>
  </si>
  <si>
    <t>Loan servicing, payments, escrow account</t>
  </si>
  <si>
    <t>Bank account or service</t>
  </si>
  <si>
    <t>Checking account</t>
  </si>
  <si>
    <t>Making/receiving payments, sending money</t>
  </si>
  <si>
    <t>Conventional fixed mortgage</t>
  </si>
  <si>
    <t>Settlement process and costs</t>
  </si>
  <si>
    <t>Student loan</t>
  </si>
  <si>
    <t>Federal student loan servicing</t>
  </si>
  <si>
    <t>Dealing with my lender or servicer</t>
  </si>
  <si>
    <t>Received bad information about my loan</t>
  </si>
  <si>
    <t>Money transfers</t>
  </si>
  <si>
    <t>International money transfer</t>
  </si>
  <si>
    <t>Fraud or scam</t>
  </si>
  <si>
    <t>Conventional adjustable mortgage (ARM)</t>
  </si>
  <si>
    <t>(CD) Certificate of deposit</t>
  </si>
  <si>
    <t>Account opening, closing, or management</t>
  </si>
  <si>
    <t>Other bank product/service</t>
  </si>
  <si>
    <t>Non-federal student loan</t>
  </si>
  <si>
    <t>Can't repay my loan</t>
  </si>
  <si>
    <t>Can't get flexible payment options</t>
  </si>
  <si>
    <t>Consumer Loan</t>
  </si>
  <si>
    <t>Vehicle loan</t>
  </si>
  <si>
    <t>Problems when you are unable to pay</t>
  </si>
  <si>
    <t>Installment loan</t>
  </si>
  <si>
    <t>Credit reporting company's investigation</t>
  </si>
  <si>
    <t>Investigation took too long</t>
  </si>
  <si>
    <t>Other fee</t>
  </si>
  <si>
    <t>Prepaid card</t>
  </si>
  <si>
    <t>Payroll card</t>
  </si>
  <si>
    <t>Advertising, marketing or disclosures</t>
  </si>
  <si>
    <t>Improper contact or sharing of info</t>
  </si>
  <si>
    <t>Talked to a third party about my debt</t>
  </si>
  <si>
    <t>Identity theft / Fraud / Embezzlement</t>
  </si>
  <si>
    <t>Customer service / Customer relations</t>
  </si>
  <si>
    <t>Account status</t>
  </si>
  <si>
    <t>Payday loan</t>
  </si>
  <si>
    <t>Right to dispute notice not received</t>
  </si>
  <si>
    <t>Auto</t>
  </si>
  <si>
    <t>False statements or representation</t>
  </si>
  <si>
    <t>Attempted to collect wrong amount</t>
  </si>
  <si>
    <t>Can't decrease my monthly payments</t>
  </si>
  <si>
    <t>Problems caused by my funds being low</t>
  </si>
  <si>
    <t>Account terms</t>
  </si>
  <si>
    <t>Managing, opening, or closing account</t>
  </si>
  <si>
    <t>FHA mortgage</t>
  </si>
  <si>
    <t>Deposits and withdrawals</t>
  </si>
  <si>
    <t>Managing the loan or lease</t>
  </si>
  <si>
    <t>APR or interest rate</t>
  </si>
  <si>
    <t>Medical</t>
  </si>
  <si>
    <t>Personal information</t>
  </si>
  <si>
    <t>Home equity loan or line of credit</t>
  </si>
  <si>
    <t>Using a debit or ATM card</t>
  </si>
  <si>
    <t>Application, originator, mortgage broker</t>
  </si>
  <si>
    <t>Balance transfer</t>
  </si>
  <si>
    <t>Other financial service</t>
  </si>
  <si>
    <t>Check cashing</t>
  </si>
  <si>
    <t>Customer service/Customer relations</t>
  </si>
  <si>
    <t>Cont'd attempts collect debt not owed</t>
  </si>
  <si>
    <t>Debt is not mine</t>
  </si>
  <si>
    <t>Transaction issue</t>
  </si>
  <si>
    <t>Credit monitoring or identity protection</t>
  </si>
  <si>
    <t>Problem with fraud alerts</t>
  </si>
  <si>
    <t>Public record</t>
  </si>
  <si>
    <t>Taking out the loan or lease</t>
  </si>
  <si>
    <t>Debt resulted from identity theft</t>
  </si>
  <si>
    <t>Credit line increase/decrease</t>
  </si>
  <si>
    <t>Having problems with customer service</t>
  </si>
  <si>
    <t>I do not know</t>
  </si>
  <si>
    <t>Communication tactics</t>
  </si>
  <si>
    <t>Frequent or repeated calls</t>
  </si>
  <si>
    <t>Vehicle lease</t>
  </si>
  <si>
    <t>Billing disputes</t>
  </si>
  <si>
    <t>Bankruptcy</t>
  </si>
  <si>
    <t>Contacted me after I asked not to</t>
  </si>
  <si>
    <t>Savings account</t>
  </si>
  <si>
    <t>Problem with statement of dispute</t>
  </si>
  <si>
    <t>Payoff process</t>
  </si>
  <si>
    <t>Taking/threatening an illegal action</t>
  </si>
  <si>
    <t>Threatened to sue on too old debt</t>
  </si>
  <si>
    <t>General purpose card</t>
  </si>
  <si>
    <t>Domestic (US) money transfer</t>
  </si>
  <si>
    <t>Money was not available when promised</t>
  </si>
  <si>
    <t>Trouble with how payments are handled</t>
  </si>
  <si>
    <t>Inadequate help over the phone</t>
  </si>
  <si>
    <t>Mobile wallet</t>
  </si>
  <si>
    <t>Delinquent account</t>
  </si>
  <si>
    <t>Don't agree with fees charged</t>
  </si>
  <si>
    <t>Pawn loan</t>
  </si>
  <si>
    <t>Applied for loan/did not receive money</t>
  </si>
  <si>
    <t>Debt was paid</t>
  </si>
  <si>
    <t>Sued w/o proper notification of suit</t>
  </si>
  <si>
    <t>Used obscene/profane/abusive language</t>
  </si>
  <si>
    <t>Improper use of my credit report</t>
  </si>
  <si>
    <t>Report improperly shared by CRC</t>
  </si>
  <si>
    <t>Advertising and marketing</t>
  </si>
  <si>
    <t>Money order</t>
  </si>
  <si>
    <t>Lost or stolen money order</t>
  </si>
  <si>
    <t>Threatened to take legal action</t>
  </si>
  <si>
    <t>Consumer complaint narrative</t>
  </si>
  <si>
    <t>Company public response</t>
  </si>
  <si>
    <t>Company</t>
  </si>
  <si>
    <t>State</t>
  </si>
  <si>
    <t>ZIP code</t>
  </si>
  <si>
    <t>Tags</t>
  </si>
  <si>
    <t>Submitted via</t>
  </si>
  <si>
    <t>Date sent to company</t>
  </si>
  <si>
    <t>Company response to consumer</t>
  </si>
  <si>
    <t>Timely response?</t>
  </si>
  <si>
    <t>Complaint ID</t>
  </si>
  <si>
    <t>Company has responded to the consumer and the CFPB and chooses not to provide a public response</t>
  </si>
  <si>
    <t>EXPERIAN DELAWARE GP</t>
  </si>
  <si>
    <t>TX</t>
  </si>
  <si>
    <t>Older American</t>
  </si>
  <si>
    <t>Phone</t>
  </si>
  <si>
    <t>Closed with non-monetary relief</t>
  </si>
  <si>
    <t>Yes</t>
  </si>
  <si>
    <t>Security Credit Services, LLC</t>
  </si>
  <si>
    <t>IL</t>
  </si>
  <si>
    <t>Web</t>
  </si>
  <si>
    <t>Closed with explanation</t>
  </si>
  <si>
    <t>CITIBANK, N.A.</t>
  </si>
  <si>
    <t>Referral</t>
  </si>
  <si>
    <t>Company believes it acted appropriately as authorized by contract or law</t>
  </si>
  <si>
    <t>Shellpoint Partners, LLC</t>
  </si>
  <si>
    <t>CA</t>
  </si>
  <si>
    <t>U.S. BANCORP</t>
  </si>
  <si>
    <t>LA</t>
  </si>
  <si>
    <t>Postal mail</t>
  </si>
  <si>
    <t>Rubin &amp; Rothman, LLC</t>
  </si>
  <si>
    <t>NY</t>
  </si>
  <si>
    <t>In progress</t>
  </si>
  <si>
    <t>QUICKEN LOANS, INC.</t>
  </si>
  <si>
    <t>FL</t>
  </si>
  <si>
    <t>WELLS FARGO BANK, NATIONAL ASSOCIATION</t>
  </si>
  <si>
    <t>NJ</t>
  </si>
  <si>
    <t>UNITED SERVICES AUTOMOBILE ASSOCIATION</t>
  </si>
  <si>
    <t>WI</t>
  </si>
  <si>
    <t>Started the refinance of home mortgage process with cash out option on XX/XX/2016. Necessary documents were submitted by XXXX. After initial review, got good faith estimate with loan amount and closing cost. Based on this estimate, a deposit of {$350.00} was made towards appraisal. Appraisal came with lesser amount by {$5000.00}. Agreed to reduce the loan amount to that extent. However, got a revised estimate which was less by {$30000.00} and with additional closing cost towards points etc. In between got numerous revised estimates with different loan amounts and closing cost. It took more than 2 months to reach any definite closing document. Hence, want to get back the deposit of {$350.00}.</t>
  </si>
  <si>
    <t>AMERICAN NEIGHBORHOOD MORTGAGE</t>
  </si>
  <si>
    <t>088XX</t>
  </si>
  <si>
    <t>Closed with monetary relief</t>
  </si>
  <si>
    <t>No</t>
  </si>
  <si>
    <t>AES/PHEAA</t>
  </si>
  <si>
    <t>946XX</t>
  </si>
  <si>
    <t>SUNTRUST BANKS, INC.</t>
  </si>
  <si>
    <t>MD</t>
  </si>
  <si>
    <t>208XX</t>
  </si>
  <si>
    <t>PMGI, LLC</t>
  </si>
  <si>
    <t>Ditech Financial LLC</t>
  </si>
  <si>
    <t>913XX</t>
  </si>
  <si>
    <t>606XX</t>
  </si>
  <si>
    <t>Specialized Loan Servicing LLC</t>
  </si>
  <si>
    <t>GA</t>
  </si>
  <si>
    <t>303XX</t>
  </si>
  <si>
    <t>MUFG UNION BANK, NATIONAL ASSOCIATION</t>
  </si>
  <si>
    <t>BANK OF AMERICA, NATIONAL ASSOCIATION</t>
  </si>
  <si>
    <t>WA</t>
  </si>
  <si>
    <t>Navient Solutions, LLC.</t>
  </si>
  <si>
    <t>PA</t>
  </si>
  <si>
    <t>185XX</t>
  </si>
  <si>
    <t>CREDIT ACCEPTANCE CORPORATION</t>
  </si>
  <si>
    <t>SC</t>
  </si>
  <si>
    <t>290XX</t>
  </si>
  <si>
    <t>Camelot Financial Services, Inc.</t>
  </si>
  <si>
    <t>EQUIFAX, INC.</t>
  </si>
  <si>
    <t>BARCLAYS BANK DELAWARE</t>
  </si>
  <si>
    <t>VA</t>
  </si>
  <si>
    <t>Servicemember</t>
  </si>
  <si>
    <t>NETSPEND CORPORATION</t>
  </si>
  <si>
    <t>NC</t>
  </si>
  <si>
    <t>281XX</t>
  </si>
  <si>
    <t>Resurgent Capital Services L.P.</t>
  </si>
  <si>
    <t>JPMORGAN CHASE &amp; CO.</t>
  </si>
  <si>
    <t>DC</t>
  </si>
  <si>
    <t>CAPITAL ONE FINANCIAL CORPORATION</t>
  </si>
  <si>
    <t>TN</t>
  </si>
  <si>
    <t>371XX</t>
  </si>
  <si>
    <t>Company chooses not to provide a public response</t>
  </si>
  <si>
    <t>SPEEDY CASH INTERMEDIATE HOLDINGS CORP</t>
  </si>
  <si>
    <t>773XX</t>
  </si>
  <si>
    <t>American Credit Acceptance, LLC</t>
  </si>
  <si>
    <t>ONEMAIN FINANCIAL HOLDINGS, LLC.</t>
  </si>
  <si>
    <t>My wife and I visited the Chase Bank branch at XXXX, XXXX, KY on XX/XX/2017 around XXXX AM to open new checking accounts. We were prompted to open these checking accounts because Chase mailed and emailed us vouchers to receive {$300.00} for opening each account and personal friends had also referred us. XXXX was assigned to assist us in this matter. His first question to us was " where do you work? ". After informing him that we are both were XXXX employees he asked us what we were going to do with our XXXX accounts. We advised him we would be keeping those accounts open. He then asked what we would be using our new Chase accounts for and I advised we would be using those accounts for miscellaneous savings, etc. It was then that XXXX XXXX advised he would not be opening the new accounts for us unless we closed our XXXX accounts and he tossed the Chase Voucher and our ID 's back across the desk to us ( RUDE! ). Confused, I questioned him further about this and he advised that he did not believe we were going to use our new Chase accounts and would just close them in 6 months. Upon clarifying that we would indeed keep the Chase accounts open and meet all of the requirements of the offer he stated that we would not be closing our XXXX accounts. He reiterated that he would not open the accounts for us and advised that he would get his manager XXXX involved. When XXXX XXXX arrived in the office to speak with us she advised that Chase would not be honoring the vouchers and would not open accounts for us because XXXX XXXX told her we were not planning to keep the accounts open and would not be " using '' the accounts. I advised XXXX XXXX that we intended to meet the minimum requirements ( set up direct deposit and keep the account open for 6 months ) and would keep the accounts open further if we enjoyed the service we received from Chase during that time. I advised we intended to have direct deposit active on the accounts and would be moving money in and out of the accounts, but she did not seem to believe that was qualifying usage of the accounts. She then advised that I had previously opened a Chase account with a coupon about 10 years ago and did not keep it open. However, I believe that account was my primary checking account and I did keep it open for the required period of time and more. It was only when I moved out of state that I closed the account because I did not know if there would be Chase branches in my new area. I am deeply insulted by my experience in trying to open these new accounts and feel that my wife and I have been discriminated against because of our employment with another banking institute. In addition to this occurrence while my wife and I we waiting in the lobby to meet with XXXX XXXX we both were able to clearly observe XXXX 's business interactions with another customer who was in his cubicle/office which has an open door and clear glass windows. We were able to hear their entire conversation and at a certain point XXXX XXXX pulled that customer 's XXXX score. After pulling the XXXX score up on his monitor he swiveled the monitor around so that it was facing directly out the window into the lobby and I could clearly see the customer 's score was XXXX. Being in the banking business I understand well that this is a clear violation of Customer Confidentiality regulations and should be dealt with as such.</t>
  </si>
  <si>
    <t>KY</t>
  </si>
  <si>
    <t>423XX</t>
  </si>
  <si>
    <t>Nationwide Biweekly Administration, Inc.</t>
  </si>
  <si>
    <t>OCWEN LOAN SERVICING LLC</t>
  </si>
  <si>
    <t>CO</t>
  </si>
  <si>
    <t>802XX</t>
  </si>
  <si>
    <t>The service representative was harsh and not listening to my questions. Attempting to collect on a debt I thought was in a grace period because I had just finished school in XXXX and it is only XXXX. Why would know one contact me prior to this? I let her know I could n't afford the XXXX a month and I needed to lower my payments. They were aggressive and unwilling to hear it. I fully intend on paying my loans just needs to be something I can afford monthly as to not overextend myself. Hate that my loans even ended up with Navient.</t>
  </si>
  <si>
    <t>OK</t>
  </si>
  <si>
    <t>741XX</t>
  </si>
  <si>
    <t>900XX</t>
  </si>
  <si>
    <t>221XX</t>
  </si>
  <si>
    <t>LoanCare, LLC</t>
  </si>
  <si>
    <t>I have documentation that shows that US Bank would not charge a Returned Item Fee nor an Overdraft Fee on my account ( Number XXXX ). When a withdrawal or other debit came in and there were non-sufficient funds, the payment was returned, without charging any fees, unless the resulting overdraft amount was negligible ( This occurred seven times between XX/XX/XXXX and XX/XX/XXXX on the old account as shown by notices received in the mail attached herein ). 
On XX/XX/XXXX, I opened a new account at US Bank ( XXXX XXXX ). On XX/XX/XXXX, an overdraft fee was charged, and a few days later two other payments were returned, one other was returned and more fees were added. The Bank has failed to provide satisfactorily explanation of this change in policy. At the time of opening the new account, I was not given any notice or warning that new rules would apply. The Bank keeps adding extended overdraft fees. 
In my perception, the bank should have not honored any payments that were underfunded nor charged any fees for overdraft nor returned items because US Bank created a reasonable expectation through consistent behavior upon which reliance was reasonable. The Bank should bring the account to XXXX balance at its own expense. Further, the bank should refrain form a threatened charge off or any other report that will harm my credit history.</t>
  </si>
  <si>
    <t>928XX</t>
  </si>
  <si>
    <t>AL</t>
  </si>
  <si>
    <t>350XX</t>
  </si>
  <si>
    <t>AMERICAN EXPRESS CENTURION BANK</t>
  </si>
  <si>
    <t>AC Autopay, LLC</t>
  </si>
  <si>
    <t>KS</t>
  </si>
  <si>
    <t>Untimely response</t>
  </si>
  <si>
    <t>AZ</t>
  </si>
  <si>
    <t>Alpine Credit, Inc</t>
  </si>
  <si>
    <t>Experian reporting of XXXX XXXX reflects a foreflosure. this was a short sale of the property done on XX/XX/2013. this is not reported accurately</t>
  </si>
  <si>
    <t>190XX</t>
  </si>
  <si>
    <t>MI</t>
  </si>
  <si>
    <t>NH</t>
  </si>
  <si>
    <t>038XX</t>
  </si>
  <si>
    <t>200XX</t>
  </si>
  <si>
    <t>Older American, Servicemember</t>
  </si>
  <si>
    <t>Fax</t>
  </si>
  <si>
    <t>Comerica</t>
  </si>
  <si>
    <t>Around XX/XX/XXXX I accepted a credit card offer from my Chase AARP card at a 0 % interest for a year with a 2 % transfer fee. Needing the money, I called Chase and asked them to deposit XXXX into my checking account and, shortly there after, they did so. Now, they are wanting the XXXX. back from my checking account. They say it was their error but they should n't have deposited the money because that checking account has n't been used to pay a Chase fee within 3 months, so could n't be approved for the transfer.. I had XXXX balances so there was no need to make a payment. They made this decision after they deposited the money into my account.They say they will pay the bank fees but where am I supposed to get the XXXX?. I do not have all of the XXXX left and what is there is allocated for checks and payments that have not cleared yet. I accepted their offer and borrowed this money in good faith and have spent many hours on the phone with various Chase reps and am that the account is active, has XXXX available credit, but they can not assign the money already borrowed to that account because it was n't used for 3 months. Surely they can lift the rule to cover their error, but they wo n't. The woman, who said she was a manager, gave me the fax number of Chase Executive Offices as my only recourse. So, I am contacting you. This is an AARP card, available only to XXXX. They are causing havoc in my life and do not care at all. Please help</t>
  </si>
  <si>
    <t>376XX</t>
  </si>
  <si>
    <t>DISCOVER BANK</t>
  </si>
  <si>
    <t>CARRINGTON MORTGAGE SERVICES</t>
  </si>
  <si>
    <t>Fidelity National Information Services, Inc. (FNIS)</t>
  </si>
  <si>
    <t>ME</t>
  </si>
  <si>
    <t>191XX</t>
  </si>
  <si>
    <t>SYNCHRONY BANK</t>
  </si>
  <si>
    <t>NV</t>
  </si>
  <si>
    <t>891XX</t>
  </si>
  <si>
    <t>JH Portfolio Debt Equities, LLC</t>
  </si>
  <si>
    <t>752XX</t>
  </si>
  <si>
    <t>212XX</t>
  </si>
  <si>
    <t>775XX</t>
  </si>
  <si>
    <t>XXXX has wrongfully placed an account in collections. XXXX has indicated that I owed {$1700.00} for water bills at XXXX. This is absolutely false. All of the bills were in good standing upon leaving. This company bulldogged and bullied me into leaving the property. They initiated an eviction on me when all of the rents were paid on time. Elite home management has placed this account in collection with National Credit Systems. I would like this account removed from collections immediately. Attached is full documentation that this account was paid in full. Additionally, XXXX kept my deposit. I would like to request my deposit be returned as I left the property in good standing and was NEVER late paying monthly rent. Please see all attached documentation. Furthermore, the claim that XXXX is stating I owe monies for a water bill is false. The amount started in XXXX of 2012. The account was never placed in my name and started with a balance of over {$700.00}! XXXX presented false documents to the court in order to have me evicted from the property. I 'm requesting that this is immediately removed from my credit report and handled outside of a credit reporting agency as these claims are false!</t>
  </si>
  <si>
    <t>National Credit Systems,Inc.</t>
  </si>
  <si>
    <t>300XX</t>
  </si>
  <si>
    <t>CT</t>
  </si>
  <si>
    <t>Regarding PMI : we paid up front at closing to not have PMI on our mortgage with the understanding that it is cancelled at 80 % LTV ratio. Four years later when we reached 80 % Wells Fargo will start charging PMI until the LTV reaches 78 % or we pay about {$550.00} for a Wells Fargo appraisal to verify loan value has not diminished. Wells Fargo will not accept a property tax statement as proof of house value. Please help to make it allowable for Wells Fargo to accept a property tax statement as home value instead of demanding their service.</t>
  </si>
  <si>
    <t>750XX</t>
  </si>
  <si>
    <t>PRESTIGE FINANCIAL SERVICES INC</t>
  </si>
  <si>
    <t>Company believes complaint is the result of an isolated error</t>
  </si>
  <si>
    <t>Westlake Services, LLC</t>
  </si>
  <si>
    <t>925XX</t>
  </si>
  <si>
    <t>i gave a vehicle away signed a bill of sale and turned in a release of liability to the dmv 6 plus years after i have a report on my XXXX that i have a XXXX dollar debt for the vehicle after it was impounded.i contacted the reporting persons and was told that because the other party had not followed through i was responsible even though the XXXX couldnt find a record of me owning the vehicle.i tried working with this company providing all the info i could for them even though the dmv wasnt able to find my name attached to this vehicle and refused to investagate anything</t>
  </si>
  <si>
    <t>FINEX Group LLC</t>
  </si>
  <si>
    <t>953XX</t>
  </si>
  <si>
    <t>Levy and Associates, LLC</t>
  </si>
  <si>
    <t>OH</t>
  </si>
  <si>
    <t>VT</t>
  </si>
  <si>
    <t>054XX</t>
  </si>
  <si>
    <t>Concentric Receivables Management, Ltd.</t>
  </si>
  <si>
    <t>URS Holding, LLC</t>
  </si>
  <si>
    <t>379XX</t>
  </si>
  <si>
    <t>I have leased a vehicle XX/XX/2015 from an authorized dealer in the state of Nevada for a lease purchase of XX/XX/2015 XXXX XXXX for the total amount {$63000.00} and the lease for 39 months payments payment amount each month {$980.00}. After one year making payments requested a buy-out amount and the information received for the buy-out total {$63000.00}. I called Ally auto asking why is the buy-out same the original purchase price? There answer was the payment paid does not deduct from the lease amount. This was surprise to me and the lease residual is at 49 % of the purchase price which the lease payment considered as a rent payment. I 've had leases with other banks and never experienced this before which each payment you make it does deduct from the purchase price. Ally is refusing to correct based on the guidelines and lease practices. I am not able to exchange the car for a better lease terms and by trading the car for another lease loan I will be in upside down situation. Could you please help with this matter?</t>
  </si>
  <si>
    <t>ALLY FINANCIAL INC.</t>
  </si>
  <si>
    <t>926XX</t>
  </si>
  <si>
    <t>BBVA COMPASS FINANCIAL CORPORATION</t>
  </si>
  <si>
    <t>MA</t>
  </si>
  <si>
    <t>Dovenmuehle Mortgage, Inc.</t>
  </si>
  <si>
    <t>EXPERT GLOBAL SOLUTIONS, INC.</t>
  </si>
  <si>
    <t>Senex Services Corp.</t>
  </si>
  <si>
    <t>IN</t>
  </si>
  <si>
    <t>TRANSUNION INTERMEDIATE HOLDINGS, INC.</t>
  </si>
  <si>
    <t>Source Receivables Management LLC</t>
  </si>
  <si>
    <t>HUNTINGTON NATIONAL BANK, THE</t>
  </si>
  <si>
    <t>433XX</t>
  </si>
  <si>
    <t>In XX/XX/2005 I obtained a home equity mortgage loan for {$46000.00} limit. I have been making all payments as required by EFT until the lender stopped taking the payments. I now believe the term of 10 years was apparently up. The lender now reports my loan delinquent which completely prevents me from refinancing. There were no warning signs along the way to let me know I would have to refinance or make other arrangements. The lender is now initiating foreclosure which I see as a way for them to steal my home legally. 
A should offer to reschedule or refinance the balance of {$23000.00} so I can resume payments.</t>
  </si>
  <si>
    <t>MP</t>
  </si>
  <si>
    <t>554XX</t>
  </si>
  <si>
    <t>FIFTH THIRD FINANCIAL CORPORATION</t>
  </si>
  <si>
    <t>302XX</t>
  </si>
  <si>
    <t>ZIONS BANCORPORATION</t>
  </si>
  <si>
    <t>852XX</t>
  </si>
  <si>
    <t>I have written to this company called Swiss Colony and disputed the item on my credit report and requested them to provide documentation bearing my signature associate with the account. They did not do so. I also let them know that the account may be fraudulent as well. I have an fraud alert on my credit files because of this company. I have looked at my credit report dated today ( XX/XX/2017 ) and before that date I did n't see the statement disputed by consumer in the remark area on my credit files. Instead in the remark area : Profit and loss write off. This statement is in the remark area. This company has broken the law called FCRA because they failed to place the statement : " disputed by consumer, '' and I do want the company to delete the entry from my credit files. I have requested this company to provide proof of any documentations bearing my signature with this account. They failed to do so with that being said I want the entry to be deleted immediately.</t>
  </si>
  <si>
    <t>Colony Brands, Inc.</t>
  </si>
  <si>
    <t>278XX</t>
  </si>
  <si>
    <t>193XX</t>
  </si>
  <si>
    <t>MN</t>
  </si>
  <si>
    <t>292XX</t>
  </si>
  <si>
    <t>Company believes the complaint is the result of a misunderstanding</t>
  </si>
  <si>
    <t>MORTGAGE 4 U LLC</t>
  </si>
  <si>
    <t>TRANSWORLD SYSTEMS INC</t>
  </si>
  <si>
    <t>330XX</t>
  </si>
  <si>
    <t>ONE REVERSE MORTGAGE, LLC</t>
  </si>
  <si>
    <t>AR Resources, Inc.</t>
  </si>
  <si>
    <t>322XX</t>
  </si>
  <si>
    <t>I filed for chapter XXXX bankruptcy XX/XX/2011. I did go to school after filing. Notice of filing was provided to the Federal Loan employees when they called every week. They have continued to report late history on my credit report. A call was placed to them two weeks ago to address the issue with reporting negative payments. The rep stated they would correct as payments should have not been reported. When the reports were checked, it was noted that the accounts were reported as current under negative account information on XXXX, and showing 11 missed payments for the past two years on XXXX and XXXX reports. They should not be reporting negatively to any credit bureaus due to the active bankruptcy. The information should also be reported under the correct sections of the credit file. I am asking that the company report the information accurately on all the credit files as it has really added to the negative standard of my credit score</t>
  </si>
  <si>
    <t>381XX</t>
  </si>
  <si>
    <t>APEX Asset Management, LLC</t>
  </si>
  <si>
    <t>Closed</t>
  </si>
  <si>
    <t>IA</t>
  </si>
  <si>
    <t>511XX</t>
  </si>
  <si>
    <t>Law Offices of Goldsmith &amp; Hull A.P.C.</t>
  </si>
  <si>
    <t>RR Resource-Recovery</t>
  </si>
  <si>
    <t>PNC Bank N.A.</t>
  </si>
  <si>
    <t>Blackhawk Network Holdings Inc.</t>
  </si>
  <si>
    <t>MS</t>
  </si>
  <si>
    <t>391XX</t>
  </si>
  <si>
    <t>I have been deprived of my income as Bank of America continues disappearing my direct deposit payments. In addition to their incapacity to secure people 's money 's, they are massively in mature as they trivialize their failures sending me an email saying : We got your back Fraud protection is back '' They are all very damaged organization full of arrogance and the belief that they are above the law. 
This is the fourth time I file a complaint against Bank of America and nothing happens to them. Had I done one inch of what they have done, I would have lost my license. How come they have more rights than the rest of the Americans? I I was supposed to receive moneys from XXXX {$290.00} on XX/XX/2017 and there is nothing in my account. 
Whe is the Federal government act as as a protector of the citizens who work for a living rather than the arrogant corporations destroying the citizens?</t>
  </si>
  <si>
    <t>024XX</t>
  </si>
  <si>
    <t>Ally Bank turned me down for deceased relative ( s ) debts. I owe no debts. Yet, the bank stated in their letter to me that since I have " outstanding debts '' I was turned down for a 1 % online savings account. There is no need to refer this complaint to another agency, I think XXXX is a flawed system for banks to use, and very few do n't use that to check potential banking clients credit, check history.</t>
  </si>
  <si>
    <t>600XX</t>
  </si>
  <si>
    <t>Quality Recovery Services, Inc.</t>
  </si>
  <si>
    <t>Several years ago I got a line of credit loan with Wachovia.They have since bin bought out by Wells Fargo.Years ago I applied to increase the amount.I was denied because my home does not rest on a permanent foundation.I did n't argue due to the change of regulations with the stock market crash.I have recently acquired about changing the amount again.I was told they could not prevent me from filling out the application but the result would be the same.I find it aggravating that I spent my life paying bills and maintaining a good credit score ; only to be judged by my house not being on a permanent foundation.I told them I felt I was being discriminated against.They replied it was about equity.My house has bin paid off for several years and is worth more than I am asking for.I believe this is a one size fits all policy and is not fair to the individual.</t>
  </si>
  <si>
    <t>182XX</t>
  </si>
  <si>
    <t>BAYVIEW LOAN SERVICING, LLC</t>
  </si>
  <si>
    <t>disputed incorrect information and accounts with experian, after thitry day was told accounts and bankruptcies showing on my report we verified as being mine when asked for proof was told they do not have to give me prooof informed rep i have been a victim of identity theft was told to send in affidavit and police report which i did send in was told under reinvestigation after thirt days went by again was told again accounts have been verfied as being mine again asked for proof some thing with mysignature on it or copy of drivers license said again they dont have to supply me with proof.</t>
  </si>
  <si>
    <t>605XX</t>
  </si>
  <si>
    <t>ENCORE CAPITAL GROUP INC.</t>
  </si>
  <si>
    <t>770XX</t>
  </si>
  <si>
    <t>934XX</t>
  </si>
  <si>
    <t>Southwest Credit Systems, L.P.</t>
  </si>
  <si>
    <t>Bursey &amp; Associates, P.C.</t>
  </si>
  <si>
    <t>I 've sent multiple letters to this agency about this not being my account. After being advised by identitytheft.gov I 've completed and sent a fraud affidavit via certified mail. I can see they received it but nothing has changed. See supporting documents. even the USPS tracking. 
I am a victim of identity theft and noticed a collection from NCC BUSINESS SERVICES I 've attempted to dispute multiple times however no response on their end. Not sure what else to do. Police department told me to contact the federal trade commision which I wrote a formal complaint against NCC BUSINESS SERVICES in regards to this matter. The FTC also instructed me to complete a id theft affidavit through identity theft.gov. Attached is my document. Thank you</t>
  </si>
  <si>
    <t>NCC Business Services, Inc.</t>
  </si>
  <si>
    <t>339XX</t>
  </si>
  <si>
    <t>I am being sued for Non-Payment, but all payments have been sent on time as agreed, the payment in XXXX was returned said no such address in XXXX error, I immediately mailed payment back, they acknowledge the received on XX/XX/2017, this was only XXXX business days late, then I received letter impending legal action as well for Non-Payment, the received payment pry to sending letter, I feel this legal action is unnecessary and unwarranted, I am continuing to make payments on time as agreed. I was not properly served, I found the Warrant some distance outside my residence, and mailed from Debt Collector at letter date. When I tried to talk to the Debt Collector after receive letter of impending legal action, she would not or could not stop legal action, and was unwilling to compromise or resolve this issue due to XXXX error, and just wanted to add additional fees, the Debt Collector was unprofessional, insulting, and among other statements said I lack common sense. If they are granted a judgment I will have insufficient funds for housing expenses.</t>
  </si>
  <si>
    <t>Results Unlimited, Inc.</t>
  </si>
  <si>
    <t>224XX</t>
  </si>
  <si>
    <t>SCHOOLSFIRST FEDERAL CREDIT UNION</t>
  </si>
  <si>
    <t>Rent Recover, LLC</t>
  </si>
  <si>
    <t>Pinnacle Credit Services, LLC</t>
  </si>
  <si>
    <t>301XX</t>
  </si>
  <si>
    <t>921XX</t>
  </si>
  <si>
    <t>951XX</t>
  </si>
  <si>
    <t>On-Site Manager, Inc.</t>
  </si>
  <si>
    <t>850XX</t>
  </si>
  <si>
    <t>I have not been contacted about this negative balance. I believe its through Alpine Credit or XXXX. This account was positive before I closed it and I do not understand why its still negative. I would like to get this issue resolved immediately because it is affecting my credit score immensely. I have had no debt collector call me or any mail correspondence delivered to me.</t>
  </si>
  <si>
    <t>Company disputes the facts presented in the complaint</t>
  </si>
  <si>
    <t>AR</t>
  </si>
  <si>
    <t>729XX</t>
  </si>
  <si>
    <t>NEW YORK COMMUNITY BANK</t>
  </si>
  <si>
    <t>762XX</t>
  </si>
  <si>
    <t>296XX</t>
  </si>
  <si>
    <t>I submitted a complaint in XX/XX/XXXX regarding a " delinquent '' US bank line of credit with CFPB. I was rewarded my desired solution in that they were supposed to REMOVE the account from my credit report. What US bank did was mark the account as paid and closed, but what I 'm currently finding out is that it still shows up on my credit report as a delinquent account and it is affecting not only my credit score, but I am not able to refinance my student loans from XXXX school because of it. It 's severely affecting my life once again with an account that was never delinquent and it was declared in my favor back in XX/XX/XXXX, but US bank never did their job. I 'm assuming you can pull up the complaint from XX/XX/XXXX, which is why I 'm sparing you the details of the issue. They should already be on file. The short hand version is that I closed my account with them in XX/XX/XXXX and they failed to close the account, made a new " rule '' to charge accounts without a minimum balance and started to charge me every month without ever calling me or sending me any bill in the mail, so I was unaware of these accumulating charges with an account I assumed was closed. I never knew of the issue until I tried to get a mortgage loan and my lender found this on my report. They are very wrong in this situation and now they are wrong again and negatively affecting my credit once again.</t>
  </si>
  <si>
    <t>532XX</t>
  </si>
  <si>
    <t>I bought a money order from XXXX XXXX to pay a bill. When I found out that the payment had not been credited, I traced the money order and found out it had been stolen and cashed, and that the thief had changed the name of the payor and the payee. I filed a police report and completed all the paperwork XXXX XXXX asked for in order to get the money order replaced. Then XXXX XXXX sent me a letter saying they had filed a claim on my behalf with the Bank of First Deposit ( Bank of America ) and that Bank of America had not responded, so XXXX XXXX was closing their investigation and that I should contact Bank of America. I contacted Bank of America, but they said it had nothing to do with them and that I had to go back to XXXX XXXX. When I did, XXXX XXXX told me I had to go to Bank of America.</t>
  </si>
  <si>
    <t>100XX</t>
  </si>
  <si>
    <t>294XX</t>
  </si>
  <si>
    <t>731XX</t>
  </si>
  <si>
    <t>Mel S. Harris and Associates, LLC</t>
  </si>
  <si>
    <t>112XX</t>
  </si>
  <si>
    <t>MO</t>
  </si>
  <si>
    <t>Credit Card Receivables Fund Incorporated</t>
  </si>
  <si>
    <t>Days between sent date and received date</t>
  </si>
  <si>
    <t>Number of complaints per state</t>
  </si>
  <si>
    <t>Perchentage of complaints per state</t>
  </si>
  <si>
    <t>Perchentage of complaints per state(rounded)</t>
  </si>
  <si>
    <t>Distinct Issue</t>
  </si>
  <si>
    <t>unici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</si>
</sst>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scheme val="minor"/>
    </font>
    <font>
      <sz val="12"/>
      <color theme="8" tint="-0.499984740745262"/>
      <name val="Comic Sans MS"/>
      <family val="4"/>
    </font>
    <font>
      <sz val="10"/>
      <color rgb="FF000000"/>
      <name val="Calibri"/>
      <family val="2"/>
      <scheme val="minor"/>
    </font>
    <font>
      <sz val="10"/>
      <color theme="1"/>
      <name val="Calibri"/>
      <family val="2"/>
      <scheme val="minor"/>
    </font>
    <font>
      <sz val="11"/>
      <color theme="0"/>
      <name val="Calibri"/>
      <family val="2"/>
      <scheme val="minor"/>
    </font>
  </fonts>
  <fills count="3">
    <fill>
      <patternFill patternType="none"/>
    </fill>
    <fill>
      <patternFill patternType="gray125"/>
    </fill>
    <fill>
      <patternFill patternType="solid">
        <fgColor theme="0"/>
        <bgColor indexed="64"/>
      </patternFill>
    </fill>
  </fills>
  <borders count="9">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theme="0"/>
      </left>
      <right style="thin">
        <color theme="0"/>
      </right>
      <top style="thin">
        <color theme="0"/>
      </top>
      <bottom style="thin">
        <color theme="0"/>
      </bottom>
      <diagonal/>
    </border>
    <border>
      <left style="medium">
        <color indexed="64"/>
      </left>
      <right/>
      <top style="medium">
        <color indexed="64"/>
      </top>
      <bottom style="medium">
        <color indexed="64"/>
      </bottom>
      <diagonal/>
    </border>
    <border>
      <left style="thin">
        <color indexed="64"/>
      </left>
      <right/>
      <top/>
      <bottom style="thin">
        <color indexed="64"/>
      </bottom>
      <diagonal/>
    </border>
    <border>
      <left style="thin">
        <color theme="0"/>
      </left>
      <right/>
      <top style="thin">
        <color theme="0"/>
      </top>
      <bottom style="thin">
        <color theme="0"/>
      </bottom>
      <diagonal/>
    </border>
    <border>
      <left style="thin">
        <color indexed="64"/>
      </left>
      <right/>
      <top style="thin">
        <color indexed="64"/>
      </top>
      <bottom style="thin">
        <color indexed="64"/>
      </bottom>
      <diagonal/>
    </border>
  </borders>
  <cellStyleXfs count="3">
    <xf numFmtId="0" fontId="0" fillId="0" borderId="0"/>
    <xf numFmtId="9" fontId="1" fillId="0" borderId="0" applyFont="0" applyFill="0" applyBorder="0" applyAlignment="0" applyProtection="0"/>
    <xf numFmtId="0" fontId="3" fillId="0" borderId="0"/>
  </cellStyleXfs>
  <cellXfs count="23">
    <xf numFmtId="0" fontId="0" fillId="0" borderId="0" xfId="0"/>
    <xf numFmtId="0" fontId="2" fillId="2" borderId="1" xfId="0" applyFont="1" applyFill="1" applyBorder="1"/>
    <xf numFmtId="14" fontId="0" fillId="0" borderId="2" xfId="0" applyNumberFormat="1" applyBorder="1"/>
    <xf numFmtId="0" fontId="0" fillId="0" borderId="2" xfId="0" applyBorder="1"/>
    <xf numFmtId="14" fontId="0" fillId="0" borderId="3" xfId="0" applyNumberFormat="1" applyBorder="1"/>
    <xf numFmtId="0" fontId="0" fillId="0" borderId="3" xfId="0" applyBorder="1"/>
    <xf numFmtId="0" fontId="0" fillId="0" borderId="2" xfId="0" applyBorder="1" applyAlignment="1">
      <alignment wrapText="1"/>
    </xf>
    <xf numFmtId="0" fontId="0" fillId="2" borderId="0" xfId="0" applyFill="1"/>
    <xf numFmtId="0" fontId="0" fillId="2" borderId="4" xfId="0" applyFill="1" applyBorder="1"/>
    <xf numFmtId="0" fontId="2" fillId="2" borderId="5" xfId="0" applyFont="1" applyFill="1" applyBorder="1"/>
    <xf numFmtId="0" fontId="2" fillId="2" borderId="0" xfId="0" applyFont="1" applyFill="1"/>
    <xf numFmtId="0" fontId="0" fillId="0" borderId="6" xfId="0" applyBorder="1"/>
    <xf numFmtId="0" fontId="0" fillId="2" borderId="7" xfId="0" applyFill="1" applyBorder="1"/>
    <xf numFmtId="0" fontId="0" fillId="0" borderId="8" xfId="0" applyBorder="1"/>
    <xf numFmtId="2" fontId="2" fillId="2" borderId="1" xfId="0" applyNumberFormat="1" applyFont="1" applyFill="1" applyBorder="1"/>
    <xf numFmtId="10" fontId="0" fillId="0" borderId="3" xfId="1" applyNumberFormat="1" applyFont="1" applyBorder="1"/>
    <xf numFmtId="9" fontId="0" fillId="0" borderId="2" xfId="1" applyFont="1" applyBorder="1"/>
    <xf numFmtId="9" fontId="0" fillId="0" borderId="3" xfId="1" applyFont="1" applyBorder="1"/>
    <xf numFmtId="0" fontId="4" fillId="2" borderId="0" xfId="2" applyFont="1" applyFill="1"/>
    <xf numFmtId="0" fontId="3" fillId="2" borderId="0" xfId="2" applyFill="1"/>
    <xf numFmtId="2" fontId="0" fillId="2" borderId="0" xfId="1" applyNumberFormat="1" applyFont="1" applyFill="1" applyBorder="1"/>
    <xf numFmtId="2" fontId="0" fillId="2" borderId="0" xfId="0" applyNumberFormat="1" applyFill="1"/>
    <xf numFmtId="0" fontId="5" fillId="2" borderId="0" xfId="0" applyFont="1" applyFill="1"/>
  </cellXfs>
  <cellStyles count="3">
    <cellStyle name="Normal" xfId="0" builtinId="0"/>
    <cellStyle name="Normale 2" xfId="2" xr:uid="{6F4F097A-93FC-4A44-9835-20498B42E85C}"/>
    <cellStyle name="Percent" xfId="1" builtinId="5"/>
  </cellStyles>
  <dxfs count="3">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sheetPr>
  <dimension ref="A1:Q207"/>
  <sheetViews>
    <sheetView topLeftCell="G1" workbookViewId="0">
      <selection activeCell="K1" sqref="K1"/>
    </sheetView>
  </sheetViews>
  <sheetFormatPr defaultRowHeight="14.4" x14ac:dyDescent="0.3"/>
  <cols>
    <col min="1" max="1" width="15.5546875" style="7" bestFit="1" customWidth="1"/>
    <col min="2" max="2" width="20.5546875" style="7" bestFit="1" customWidth="1"/>
    <col min="3" max="3" width="34.88671875" style="7" bestFit="1" customWidth="1"/>
    <col min="4" max="4" width="36.88671875" style="7" bestFit="1" customWidth="1"/>
    <col min="5" max="5" width="34.77734375" style="7" bestFit="1" customWidth="1"/>
    <col min="6" max="6" width="255.77734375" style="7" bestFit="1" customWidth="1"/>
    <col min="7" max="7" width="84.77734375" style="7" bestFit="1" customWidth="1"/>
    <col min="8" max="8" width="41.33203125" style="7" bestFit="1" customWidth="1"/>
    <col min="9" max="9" width="6.6640625" style="7" bestFit="1" customWidth="1"/>
    <col min="10" max="10" width="10.44140625" style="7" bestFit="1" customWidth="1"/>
    <col min="11" max="11" width="27.44140625" style="7" bestFit="1" customWidth="1"/>
    <col min="12" max="12" width="15.33203125" style="7" bestFit="1" customWidth="1"/>
    <col min="13" max="13" width="23.109375" style="7" bestFit="1" customWidth="1"/>
    <col min="14" max="14" width="33.44140625" style="7" bestFit="1" customWidth="1"/>
    <col min="15" max="15" width="19.21875" style="7" bestFit="1" customWidth="1"/>
    <col min="16" max="16" width="14.33203125" style="7" bestFit="1" customWidth="1"/>
    <col min="17" max="17" width="45.33203125" style="7" bestFit="1" customWidth="1"/>
    <col min="18" max="16384" width="8.88671875" style="7"/>
  </cols>
  <sheetData>
    <row r="1" spans="1:17" s="10" customFormat="1" ht="19.2" thickBot="1" x14ac:dyDescent="0.5">
      <c r="A1" s="1" t="s">
        <v>0</v>
      </c>
      <c r="B1" s="1" t="s">
        <v>1</v>
      </c>
      <c r="C1" s="1" t="s">
        <v>2</v>
      </c>
      <c r="D1" s="1" t="s">
        <v>3</v>
      </c>
      <c r="E1" s="1" t="s">
        <v>4</v>
      </c>
      <c r="F1" s="1" t="s">
        <v>117</v>
      </c>
      <c r="G1" s="1" t="s">
        <v>118</v>
      </c>
      <c r="H1" s="1" t="s">
        <v>119</v>
      </c>
      <c r="I1" s="1" t="s">
        <v>120</v>
      </c>
      <c r="J1" s="1" t="s">
        <v>121</v>
      </c>
      <c r="K1" s="1" t="s">
        <v>122</v>
      </c>
      <c r="L1" s="1" t="s">
        <v>123</v>
      </c>
      <c r="M1" s="1" t="s">
        <v>124</v>
      </c>
      <c r="N1" s="1" t="s">
        <v>125</v>
      </c>
      <c r="O1" s="1" t="s">
        <v>126</v>
      </c>
      <c r="P1" s="9" t="s">
        <v>127</v>
      </c>
      <c r="Q1" s="1" t="s">
        <v>358</v>
      </c>
    </row>
    <row r="2" spans="1:17" x14ac:dyDescent="0.3">
      <c r="A2" s="4">
        <v>41046</v>
      </c>
      <c r="B2" s="5" t="s">
        <v>14</v>
      </c>
      <c r="C2" s="5" t="s">
        <v>15</v>
      </c>
      <c r="D2" s="5" t="s">
        <v>16</v>
      </c>
      <c r="E2" s="5"/>
      <c r="F2" s="5"/>
      <c r="G2" s="5"/>
      <c r="H2" s="5" t="s">
        <v>174</v>
      </c>
      <c r="I2" s="5" t="s">
        <v>143</v>
      </c>
      <c r="J2" s="5">
        <v>90242</v>
      </c>
      <c r="K2" s="5"/>
      <c r="L2" s="5" t="s">
        <v>140</v>
      </c>
      <c r="M2" s="4">
        <v>41051</v>
      </c>
      <c r="N2" s="5" t="s">
        <v>133</v>
      </c>
      <c r="O2" s="5" t="s">
        <v>160</v>
      </c>
      <c r="P2" s="11">
        <v>81081</v>
      </c>
      <c r="Q2" s="5">
        <f>M2-A2</f>
        <v>5</v>
      </c>
    </row>
    <row r="3" spans="1:17" x14ac:dyDescent="0.3">
      <c r="A3" s="2">
        <v>41142</v>
      </c>
      <c r="B3" s="3" t="s">
        <v>14</v>
      </c>
      <c r="C3" s="3" t="s">
        <v>15</v>
      </c>
      <c r="D3" s="3" t="s">
        <v>13</v>
      </c>
      <c r="E3" s="3"/>
      <c r="F3" s="3"/>
      <c r="G3" s="3"/>
      <c r="H3" s="3" t="s">
        <v>174</v>
      </c>
      <c r="I3" s="3" t="s">
        <v>148</v>
      </c>
      <c r="J3" s="3">
        <v>11218</v>
      </c>
      <c r="K3" s="3"/>
      <c r="L3" s="3" t="s">
        <v>146</v>
      </c>
      <c r="M3" s="2">
        <v>41142</v>
      </c>
      <c r="N3" s="3" t="s">
        <v>138</v>
      </c>
      <c r="O3" s="3" t="s">
        <v>134</v>
      </c>
      <c r="P3" s="13">
        <v>139273</v>
      </c>
      <c r="Q3" s="3">
        <f t="shared" ref="Q3:Q66" si="0">M3-A3</f>
        <v>0</v>
      </c>
    </row>
    <row r="4" spans="1:17" x14ac:dyDescent="0.3">
      <c r="A4" s="2">
        <v>41264</v>
      </c>
      <c r="B4" s="3" t="s">
        <v>12</v>
      </c>
      <c r="C4" s="3"/>
      <c r="D4" s="3" t="s">
        <v>113</v>
      </c>
      <c r="E4" s="3"/>
      <c r="F4" s="3"/>
      <c r="G4" s="3"/>
      <c r="H4" s="3" t="s">
        <v>240</v>
      </c>
      <c r="I4" s="3" t="s">
        <v>143</v>
      </c>
      <c r="J4" s="3">
        <v>91108</v>
      </c>
      <c r="K4" s="3"/>
      <c r="L4" s="3" t="s">
        <v>231</v>
      </c>
      <c r="M4" s="2">
        <v>41264</v>
      </c>
      <c r="N4" s="3" t="s">
        <v>138</v>
      </c>
      <c r="O4" s="3" t="s">
        <v>134</v>
      </c>
      <c r="P4" s="13">
        <v>215434</v>
      </c>
      <c r="Q4" s="3">
        <f t="shared" si="0"/>
        <v>0</v>
      </c>
    </row>
    <row r="5" spans="1:17" x14ac:dyDescent="0.3">
      <c r="A5" s="2">
        <v>41274</v>
      </c>
      <c r="B5" s="3" t="s">
        <v>14</v>
      </c>
      <c r="C5" s="3" t="s">
        <v>15</v>
      </c>
      <c r="D5" s="3" t="s">
        <v>16</v>
      </c>
      <c r="E5" s="3"/>
      <c r="F5" s="3"/>
      <c r="G5" s="3"/>
      <c r="H5" s="3" t="s">
        <v>205</v>
      </c>
      <c r="I5" s="3" t="s">
        <v>226</v>
      </c>
      <c r="J5" s="3">
        <v>48320</v>
      </c>
      <c r="K5" s="3"/>
      <c r="L5" s="3" t="s">
        <v>231</v>
      </c>
      <c r="M5" s="2">
        <v>41276</v>
      </c>
      <c r="N5" s="3" t="s">
        <v>138</v>
      </c>
      <c r="O5" s="3" t="s">
        <v>134</v>
      </c>
      <c r="P5" s="13">
        <v>215643</v>
      </c>
      <c r="Q5" s="3">
        <f t="shared" si="0"/>
        <v>2</v>
      </c>
    </row>
    <row r="6" spans="1:17" x14ac:dyDescent="0.3">
      <c r="A6" s="2">
        <v>41283</v>
      </c>
      <c r="B6" s="3" t="s">
        <v>14</v>
      </c>
      <c r="C6" s="3" t="s">
        <v>15</v>
      </c>
      <c r="D6" s="3" t="s">
        <v>16</v>
      </c>
      <c r="E6" s="3"/>
      <c r="F6" s="3"/>
      <c r="G6" s="3"/>
      <c r="H6" s="3" t="s">
        <v>152</v>
      </c>
      <c r="I6" s="3" t="s">
        <v>143</v>
      </c>
      <c r="J6" s="3">
        <v>94590</v>
      </c>
      <c r="K6" s="3"/>
      <c r="L6" s="3" t="s">
        <v>140</v>
      </c>
      <c r="M6" s="2">
        <v>41288</v>
      </c>
      <c r="N6" s="3" t="s">
        <v>138</v>
      </c>
      <c r="O6" s="3" t="s">
        <v>134</v>
      </c>
      <c r="P6" s="13">
        <v>224922</v>
      </c>
      <c r="Q6" s="3">
        <f t="shared" si="0"/>
        <v>5</v>
      </c>
    </row>
    <row r="7" spans="1:17" x14ac:dyDescent="0.3">
      <c r="A7" s="2">
        <v>41473</v>
      </c>
      <c r="B7" s="3" t="s">
        <v>8</v>
      </c>
      <c r="C7" s="3" t="s">
        <v>67</v>
      </c>
      <c r="D7" s="3" t="s">
        <v>76</v>
      </c>
      <c r="E7" s="3" t="s">
        <v>77</v>
      </c>
      <c r="F7" s="3"/>
      <c r="G7" s="3"/>
      <c r="H7" s="3" t="s">
        <v>302</v>
      </c>
      <c r="I7" s="3" t="s">
        <v>153</v>
      </c>
      <c r="J7" s="3">
        <v>8031</v>
      </c>
      <c r="K7" s="3"/>
      <c r="L7" s="3" t="s">
        <v>137</v>
      </c>
      <c r="M7" s="2">
        <v>41509</v>
      </c>
      <c r="N7" s="3" t="s">
        <v>303</v>
      </c>
      <c r="O7" s="3" t="s">
        <v>160</v>
      </c>
      <c r="P7" s="13">
        <v>460443</v>
      </c>
      <c r="Q7" s="3">
        <f t="shared" si="0"/>
        <v>36</v>
      </c>
    </row>
    <row r="8" spans="1:17" x14ac:dyDescent="0.3">
      <c r="A8" s="2">
        <v>41826</v>
      </c>
      <c r="B8" s="3" t="s">
        <v>14</v>
      </c>
      <c r="C8" s="3" t="s">
        <v>32</v>
      </c>
      <c r="D8" s="3" t="s">
        <v>19</v>
      </c>
      <c r="E8" s="3"/>
      <c r="F8" s="3"/>
      <c r="G8" s="3"/>
      <c r="H8" s="3" t="s">
        <v>167</v>
      </c>
      <c r="I8" s="3" t="s">
        <v>151</v>
      </c>
      <c r="J8" s="3">
        <v>34714</v>
      </c>
      <c r="K8" s="3"/>
      <c r="L8" s="3" t="s">
        <v>137</v>
      </c>
      <c r="M8" s="2">
        <v>41826</v>
      </c>
      <c r="N8" s="3" t="s">
        <v>138</v>
      </c>
      <c r="O8" s="3" t="s">
        <v>134</v>
      </c>
      <c r="P8" s="13">
        <v>924254</v>
      </c>
      <c r="Q8" s="3">
        <f t="shared" si="0"/>
        <v>0</v>
      </c>
    </row>
    <row r="9" spans="1:17" x14ac:dyDescent="0.3">
      <c r="A9" s="2">
        <v>41884</v>
      </c>
      <c r="B9" s="3" t="s">
        <v>5</v>
      </c>
      <c r="C9" s="3"/>
      <c r="D9" s="3" t="s">
        <v>6</v>
      </c>
      <c r="E9" s="3" t="s">
        <v>81</v>
      </c>
      <c r="F9" s="3"/>
      <c r="G9" s="3"/>
      <c r="H9" s="3" t="s">
        <v>276</v>
      </c>
      <c r="I9" s="3" t="s">
        <v>151</v>
      </c>
      <c r="J9" s="3">
        <v>33928</v>
      </c>
      <c r="K9" s="3"/>
      <c r="L9" s="3" t="s">
        <v>137</v>
      </c>
      <c r="M9" s="2">
        <v>41884</v>
      </c>
      <c r="N9" s="3" t="s">
        <v>138</v>
      </c>
      <c r="O9" s="3" t="s">
        <v>134</v>
      </c>
      <c r="P9" s="13">
        <v>1009652</v>
      </c>
      <c r="Q9" s="3">
        <f t="shared" si="0"/>
        <v>0</v>
      </c>
    </row>
    <row r="10" spans="1:17" x14ac:dyDescent="0.3">
      <c r="A10" s="2">
        <v>41932</v>
      </c>
      <c r="B10" s="3" t="s">
        <v>12</v>
      </c>
      <c r="C10" s="3"/>
      <c r="D10" s="3" t="s">
        <v>51</v>
      </c>
      <c r="E10" s="3"/>
      <c r="F10" s="3"/>
      <c r="G10" s="3"/>
      <c r="H10" s="3" t="s">
        <v>240</v>
      </c>
      <c r="I10" s="3" t="s">
        <v>143</v>
      </c>
      <c r="J10" s="3">
        <v>91602</v>
      </c>
      <c r="K10" s="3"/>
      <c r="L10" s="3" t="s">
        <v>146</v>
      </c>
      <c r="M10" s="2">
        <v>41936</v>
      </c>
      <c r="N10" s="3" t="s">
        <v>138</v>
      </c>
      <c r="O10" s="3" t="s">
        <v>134</v>
      </c>
      <c r="P10" s="13">
        <v>1077763</v>
      </c>
      <c r="Q10" s="3">
        <f t="shared" si="0"/>
        <v>4</v>
      </c>
    </row>
    <row r="11" spans="1:17" x14ac:dyDescent="0.3">
      <c r="A11" s="2">
        <v>41935</v>
      </c>
      <c r="B11" s="3" t="s">
        <v>14</v>
      </c>
      <c r="C11" s="3" t="s">
        <v>15</v>
      </c>
      <c r="D11" s="3" t="s">
        <v>16</v>
      </c>
      <c r="E11" s="3"/>
      <c r="F11" s="3"/>
      <c r="G11" s="3"/>
      <c r="H11" s="3" t="s">
        <v>174</v>
      </c>
      <c r="I11" s="3" t="s">
        <v>143</v>
      </c>
      <c r="J11" s="3">
        <v>92879</v>
      </c>
      <c r="K11" s="3"/>
      <c r="L11" s="3" t="s">
        <v>140</v>
      </c>
      <c r="M11" s="2">
        <v>41940</v>
      </c>
      <c r="N11" s="3" t="s">
        <v>138</v>
      </c>
      <c r="O11" s="3" t="s">
        <v>134</v>
      </c>
      <c r="P11" s="13">
        <v>1084242</v>
      </c>
      <c r="Q11" s="3">
        <f t="shared" si="0"/>
        <v>5</v>
      </c>
    </row>
    <row r="12" spans="1:17" x14ac:dyDescent="0.3">
      <c r="A12" s="2">
        <v>42008</v>
      </c>
      <c r="B12" s="3" t="s">
        <v>39</v>
      </c>
      <c r="C12" s="3" t="s">
        <v>42</v>
      </c>
      <c r="D12" s="3" t="s">
        <v>65</v>
      </c>
      <c r="E12" s="3"/>
      <c r="F12" s="3"/>
      <c r="G12" s="3"/>
      <c r="H12" s="3" t="s">
        <v>240</v>
      </c>
      <c r="I12" s="3" t="s">
        <v>153</v>
      </c>
      <c r="J12" s="3">
        <v>8901</v>
      </c>
      <c r="K12" s="3"/>
      <c r="L12" s="3" t="s">
        <v>137</v>
      </c>
      <c r="M12" s="2">
        <v>42012</v>
      </c>
      <c r="N12" s="3" t="s">
        <v>159</v>
      </c>
      <c r="O12" s="3" t="s">
        <v>134</v>
      </c>
      <c r="P12" s="13">
        <v>1179936</v>
      </c>
      <c r="Q12" s="3">
        <f t="shared" si="0"/>
        <v>4</v>
      </c>
    </row>
    <row r="13" spans="1:17" x14ac:dyDescent="0.3">
      <c r="A13" s="2">
        <v>42065</v>
      </c>
      <c r="B13" s="3" t="s">
        <v>8</v>
      </c>
      <c r="C13" s="3" t="s">
        <v>36</v>
      </c>
      <c r="D13" s="3" t="s">
        <v>10</v>
      </c>
      <c r="E13" s="3" t="s">
        <v>11</v>
      </c>
      <c r="F13" s="3"/>
      <c r="G13" s="3"/>
      <c r="H13" s="3" t="s">
        <v>306</v>
      </c>
      <c r="I13" s="3" t="s">
        <v>143</v>
      </c>
      <c r="J13" s="3">
        <v>90008</v>
      </c>
      <c r="K13" s="3"/>
      <c r="L13" s="3" t="s">
        <v>146</v>
      </c>
      <c r="M13" s="2">
        <v>42072</v>
      </c>
      <c r="N13" s="3" t="s">
        <v>138</v>
      </c>
      <c r="O13" s="3" t="s">
        <v>160</v>
      </c>
      <c r="P13" s="13">
        <v>1263989</v>
      </c>
      <c r="Q13" s="3">
        <f t="shared" si="0"/>
        <v>7</v>
      </c>
    </row>
    <row r="14" spans="1:17" x14ac:dyDescent="0.3">
      <c r="A14" s="2">
        <v>42355</v>
      </c>
      <c r="B14" s="3" t="s">
        <v>8</v>
      </c>
      <c r="C14" s="3" t="s">
        <v>67</v>
      </c>
      <c r="D14" s="3" t="s">
        <v>10</v>
      </c>
      <c r="E14" s="3" t="s">
        <v>18</v>
      </c>
      <c r="F14" s="3"/>
      <c r="G14" s="3"/>
      <c r="H14" s="3" t="s">
        <v>223</v>
      </c>
      <c r="I14" s="3" t="s">
        <v>206</v>
      </c>
      <c r="J14" s="3">
        <v>80017</v>
      </c>
      <c r="K14" s="3"/>
      <c r="L14" s="3" t="s">
        <v>137</v>
      </c>
      <c r="M14" s="2">
        <v>42355</v>
      </c>
      <c r="N14" s="3" t="s">
        <v>138</v>
      </c>
      <c r="O14" s="3" t="s">
        <v>160</v>
      </c>
      <c r="P14" s="13">
        <v>1706577</v>
      </c>
      <c r="Q14" s="3">
        <f t="shared" si="0"/>
        <v>0</v>
      </c>
    </row>
    <row r="15" spans="1:17" x14ac:dyDescent="0.3">
      <c r="A15" s="2">
        <v>42408</v>
      </c>
      <c r="B15" s="3" t="s">
        <v>5</v>
      </c>
      <c r="C15" s="3"/>
      <c r="D15" s="3" t="s">
        <v>6</v>
      </c>
      <c r="E15" s="3" t="s">
        <v>53</v>
      </c>
      <c r="F15" s="3"/>
      <c r="G15" s="3" t="s">
        <v>196</v>
      </c>
      <c r="H15" s="3" t="s">
        <v>129</v>
      </c>
      <c r="I15" s="3" t="s">
        <v>188</v>
      </c>
      <c r="J15" s="3">
        <v>27703</v>
      </c>
      <c r="K15" s="3"/>
      <c r="L15" s="3" t="s">
        <v>146</v>
      </c>
      <c r="M15" s="2">
        <v>42408</v>
      </c>
      <c r="N15" s="3" t="s">
        <v>138</v>
      </c>
      <c r="O15" s="3" t="s">
        <v>134</v>
      </c>
      <c r="P15" s="13">
        <v>1776912</v>
      </c>
      <c r="Q15" s="3">
        <f t="shared" si="0"/>
        <v>0</v>
      </c>
    </row>
    <row r="16" spans="1:17" x14ac:dyDescent="0.3">
      <c r="A16" s="2">
        <v>42454</v>
      </c>
      <c r="B16" s="3" t="s">
        <v>8</v>
      </c>
      <c r="C16" s="3" t="s">
        <v>9</v>
      </c>
      <c r="D16" s="3" t="s">
        <v>10</v>
      </c>
      <c r="E16" s="3" t="s">
        <v>18</v>
      </c>
      <c r="F16" s="3"/>
      <c r="G16" s="3"/>
      <c r="H16" s="3" t="s">
        <v>316</v>
      </c>
      <c r="I16" s="3" t="s">
        <v>171</v>
      </c>
      <c r="J16" s="3">
        <v>30014</v>
      </c>
      <c r="K16" s="3"/>
      <c r="L16" s="3" t="s">
        <v>140</v>
      </c>
      <c r="M16" s="2">
        <v>42458</v>
      </c>
      <c r="N16" s="3" t="s">
        <v>138</v>
      </c>
      <c r="O16" s="3" t="s">
        <v>160</v>
      </c>
      <c r="P16" s="13">
        <v>1849932</v>
      </c>
      <c r="Q16" s="3">
        <f t="shared" si="0"/>
        <v>4</v>
      </c>
    </row>
    <row r="17" spans="1:17" x14ac:dyDescent="0.3">
      <c r="A17" s="2">
        <v>42489</v>
      </c>
      <c r="B17" s="3" t="s">
        <v>5</v>
      </c>
      <c r="C17" s="3"/>
      <c r="D17" s="3" t="s">
        <v>6</v>
      </c>
      <c r="E17" s="3" t="s">
        <v>7</v>
      </c>
      <c r="F17" s="3"/>
      <c r="G17" s="3" t="s">
        <v>128</v>
      </c>
      <c r="H17" s="3" t="s">
        <v>276</v>
      </c>
      <c r="I17" s="3" t="s">
        <v>241</v>
      </c>
      <c r="J17" s="3">
        <v>89031</v>
      </c>
      <c r="K17" s="3"/>
      <c r="L17" s="3" t="s">
        <v>137</v>
      </c>
      <c r="M17" s="2">
        <v>42489</v>
      </c>
      <c r="N17" s="3" t="s">
        <v>138</v>
      </c>
      <c r="O17" s="3" t="s">
        <v>134</v>
      </c>
      <c r="P17" s="13">
        <v>1901482</v>
      </c>
      <c r="Q17" s="3">
        <f t="shared" si="0"/>
        <v>0</v>
      </c>
    </row>
    <row r="18" spans="1:17" x14ac:dyDescent="0.3">
      <c r="A18" s="2">
        <v>42496</v>
      </c>
      <c r="B18" s="3" t="s">
        <v>8</v>
      </c>
      <c r="C18" s="3" t="s">
        <v>9</v>
      </c>
      <c r="D18" s="3" t="s">
        <v>76</v>
      </c>
      <c r="E18" s="3" t="s">
        <v>77</v>
      </c>
      <c r="F18" s="3" t="s">
        <v>257</v>
      </c>
      <c r="G18" s="3"/>
      <c r="H18" s="3" t="s">
        <v>258</v>
      </c>
      <c r="I18" s="3" t="s">
        <v>143</v>
      </c>
      <c r="J18" s="3" t="s">
        <v>259</v>
      </c>
      <c r="K18" s="3"/>
      <c r="L18" s="3" t="s">
        <v>137</v>
      </c>
      <c r="M18" s="2">
        <v>42496</v>
      </c>
      <c r="N18" s="3" t="s">
        <v>138</v>
      </c>
      <c r="O18" s="3" t="s">
        <v>160</v>
      </c>
      <c r="P18" s="13">
        <v>1914423</v>
      </c>
      <c r="Q18" s="3">
        <f t="shared" si="0"/>
        <v>0</v>
      </c>
    </row>
    <row r="19" spans="1:17" x14ac:dyDescent="0.3">
      <c r="A19" s="2">
        <v>42508</v>
      </c>
      <c r="B19" s="3" t="s">
        <v>14</v>
      </c>
      <c r="C19" s="3" t="s">
        <v>15</v>
      </c>
      <c r="D19" s="3" t="s">
        <v>16</v>
      </c>
      <c r="E19" s="3"/>
      <c r="F19" s="3"/>
      <c r="G19" s="3" t="s">
        <v>128</v>
      </c>
      <c r="H19" s="3" t="s">
        <v>152</v>
      </c>
      <c r="I19" s="3" t="s">
        <v>153</v>
      </c>
      <c r="J19" s="3">
        <v>8618</v>
      </c>
      <c r="K19" s="3"/>
      <c r="L19" s="3" t="s">
        <v>140</v>
      </c>
      <c r="M19" s="2">
        <v>42513</v>
      </c>
      <c r="N19" s="3" t="s">
        <v>138</v>
      </c>
      <c r="O19" s="3" t="s">
        <v>134</v>
      </c>
      <c r="P19" s="13">
        <v>1931957</v>
      </c>
      <c r="Q19" s="3">
        <f t="shared" si="0"/>
        <v>5</v>
      </c>
    </row>
    <row r="20" spans="1:17" x14ac:dyDescent="0.3">
      <c r="A20" s="2">
        <v>42549</v>
      </c>
      <c r="B20" s="3" t="s">
        <v>8</v>
      </c>
      <c r="C20" s="3" t="s">
        <v>9</v>
      </c>
      <c r="D20" s="3" t="s">
        <v>96</v>
      </c>
      <c r="E20" s="3" t="s">
        <v>97</v>
      </c>
      <c r="F20" s="3"/>
      <c r="G20" s="3"/>
      <c r="H20" s="3" t="s">
        <v>190</v>
      </c>
      <c r="I20" s="3" t="s">
        <v>226</v>
      </c>
      <c r="J20" s="3">
        <v>48219</v>
      </c>
      <c r="K20" s="3"/>
      <c r="L20" s="3" t="s">
        <v>140</v>
      </c>
      <c r="M20" s="2">
        <v>42550</v>
      </c>
      <c r="N20" s="3" t="s">
        <v>138</v>
      </c>
      <c r="O20" s="3" t="s">
        <v>134</v>
      </c>
      <c r="P20" s="13">
        <v>1989521</v>
      </c>
      <c r="Q20" s="3">
        <f t="shared" si="0"/>
        <v>1</v>
      </c>
    </row>
    <row r="21" spans="1:17" x14ac:dyDescent="0.3">
      <c r="A21" s="2">
        <v>42682</v>
      </c>
      <c r="B21" s="3" t="s">
        <v>5</v>
      </c>
      <c r="C21" s="3"/>
      <c r="D21" s="3" t="s">
        <v>6</v>
      </c>
      <c r="E21" s="3" t="s">
        <v>7</v>
      </c>
      <c r="F21" s="3"/>
      <c r="G21" s="3"/>
      <c r="H21" s="3" t="s">
        <v>183</v>
      </c>
      <c r="I21" s="3" t="s">
        <v>222</v>
      </c>
      <c r="J21" s="3">
        <v>85296</v>
      </c>
      <c r="K21" s="3"/>
      <c r="L21" s="3" t="s">
        <v>137</v>
      </c>
      <c r="M21" s="2">
        <v>42682</v>
      </c>
      <c r="N21" s="3" t="s">
        <v>138</v>
      </c>
      <c r="O21" s="3" t="s">
        <v>134</v>
      </c>
      <c r="P21" s="13">
        <v>2199513</v>
      </c>
      <c r="Q21" s="3">
        <f t="shared" si="0"/>
        <v>0</v>
      </c>
    </row>
    <row r="22" spans="1:17" x14ac:dyDescent="0.3">
      <c r="A22" s="2">
        <v>42691</v>
      </c>
      <c r="B22" s="3" t="s">
        <v>8</v>
      </c>
      <c r="C22" s="3" t="s">
        <v>9</v>
      </c>
      <c r="D22" s="3" t="s">
        <v>10</v>
      </c>
      <c r="E22" s="3" t="s">
        <v>18</v>
      </c>
      <c r="F22" s="3"/>
      <c r="G22" s="3"/>
      <c r="H22" s="3" t="s">
        <v>166</v>
      </c>
      <c r="I22" s="3" t="s">
        <v>143</v>
      </c>
      <c r="J22" s="3">
        <v>92356</v>
      </c>
      <c r="K22" s="3"/>
      <c r="L22" s="3" t="s">
        <v>146</v>
      </c>
      <c r="M22" s="2">
        <v>42692</v>
      </c>
      <c r="N22" s="3" t="s">
        <v>133</v>
      </c>
      <c r="O22" s="3" t="s">
        <v>160</v>
      </c>
      <c r="P22" s="13">
        <v>2214174</v>
      </c>
      <c r="Q22" s="3">
        <f t="shared" si="0"/>
        <v>1</v>
      </c>
    </row>
    <row r="23" spans="1:17" x14ac:dyDescent="0.3">
      <c r="A23" s="2">
        <v>42692</v>
      </c>
      <c r="B23" s="3" t="s">
        <v>14</v>
      </c>
      <c r="C23" s="3" t="s">
        <v>23</v>
      </c>
      <c r="D23" s="3" t="s">
        <v>24</v>
      </c>
      <c r="E23" s="3"/>
      <c r="F23" s="3" t="s">
        <v>156</v>
      </c>
      <c r="G23" s="3"/>
      <c r="H23" s="3" t="s">
        <v>157</v>
      </c>
      <c r="I23" s="3" t="s">
        <v>153</v>
      </c>
      <c r="J23" s="3" t="s">
        <v>158</v>
      </c>
      <c r="K23" s="3"/>
      <c r="L23" s="3" t="s">
        <v>137</v>
      </c>
      <c r="M23" s="2">
        <v>42695</v>
      </c>
      <c r="N23" s="3" t="s">
        <v>159</v>
      </c>
      <c r="O23" s="3" t="s">
        <v>160</v>
      </c>
      <c r="P23" s="13">
        <v>2216206</v>
      </c>
      <c r="Q23" s="3">
        <f t="shared" si="0"/>
        <v>3</v>
      </c>
    </row>
    <row r="24" spans="1:17" x14ac:dyDescent="0.3">
      <c r="A24" s="2">
        <v>42699</v>
      </c>
      <c r="B24" s="3" t="s">
        <v>8</v>
      </c>
      <c r="C24" s="3" t="s">
        <v>9</v>
      </c>
      <c r="D24" s="3" t="s">
        <v>10</v>
      </c>
      <c r="E24" s="3" t="s">
        <v>18</v>
      </c>
      <c r="F24" s="3"/>
      <c r="G24" s="3"/>
      <c r="H24" s="3" t="s">
        <v>307</v>
      </c>
      <c r="I24" s="3" t="s">
        <v>148</v>
      </c>
      <c r="J24" s="3">
        <v>13760</v>
      </c>
      <c r="K24" s="3"/>
      <c r="L24" s="3" t="s">
        <v>137</v>
      </c>
      <c r="M24" s="2">
        <v>42798</v>
      </c>
      <c r="N24" s="3" t="s">
        <v>138</v>
      </c>
      <c r="O24" s="3" t="s">
        <v>134</v>
      </c>
      <c r="P24" s="13">
        <v>2223190</v>
      </c>
      <c r="Q24" s="3">
        <f t="shared" si="0"/>
        <v>99</v>
      </c>
    </row>
    <row r="25" spans="1:17" x14ac:dyDescent="0.3">
      <c r="A25" s="2">
        <v>42772</v>
      </c>
      <c r="B25" s="3" t="s">
        <v>39</v>
      </c>
      <c r="C25" s="3" t="s">
        <v>42</v>
      </c>
      <c r="D25" s="3" t="s">
        <v>65</v>
      </c>
      <c r="E25" s="3"/>
      <c r="F25" s="3" t="s">
        <v>287</v>
      </c>
      <c r="G25" s="3"/>
      <c r="H25" s="3" t="s">
        <v>288</v>
      </c>
      <c r="I25" s="3" t="s">
        <v>188</v>
      </c>
      <c r="J25" s="3" t="s">
        <v>289</v>
      </c>
      <c r="K25" s="3"/>
      <c r="L25" s="3" t="s">
        <v>137</v>
      </c>
      <c r="M25" s="2">
        <v>42798</v>
      </c>
      <c r="N25" s="3" t="s">
        <v>221</v>
      </c>
      <c r="O25" s="3" t="s">
        <v>160</v>
      </c>
      <c r="P25" s="13">
        <v>2329445</v>
      </c>
      <c r="Q25" s="3">
        <f t="shared" si="0"/>
        <v>26</v>
      </c>
    </row>
    <row r="26" spans="1:17" x14ac:dyDescent="0.3">
      <c r="A26" s="2">
        <v>42794</v>
      </c>
      <c r="B26" s="3" t="s">
        <v>8</v>
      </c>
      <c r="C26" s="3" t="s">
        <v>9</v>
      </c>
      <c r="D26" s="3" t="s">
        <v>49</v>
      </c>
      <c r="E26" s="3" t="s">
        <v>92</v>
      </c>
      <c r="F26" s="3"/>
      <c r="G26" s="3"/>
      <c r="H26" s="3" t="s">
        <v>273</v>
      </c>
      <c r="I26" s="3"/>
      <c r="J26" s="3"/>
      <c r="K26" s="3"/>
      <c r="L26" s="3" t="s">
        <v>137</v>
      </c>
      <c r="M26" s="2">
        <v>42798</v>
      </c>
      <c r="N26" s="3" t="s">
        <v>138</v>
      </c>
      <c r="O26" s="3" t="s">
        <v>134</v>
      </c>
      <c r="P26" s="13">
        <v>2364897</v>
      </c>
      <c r="Q26" s="3">
        <f t="shared" si="0"/>
        <v>4</v>
      </c>
    </row>
    <row r="27" spans="1:17" x14ac:dyDescent="0.3">
      <c r="A27" s="2">
        <v>42795</v>
      </c>
      <c r="B27" s="3" t="s">
        <v>8</v>
      </c>
      <c r="C27" s="3" t="s">
        <v>86</v>
      </c>
      <c r="D27" s="3" t="s">
        <v>49</v>
      </c>
      <c r="E27" s="3" t="s">
        <v>50</v>
      </c>
      <c r="F27" s="3"/>
      <c r="G27" s="3"/>
      <c r="H27" s="3" t="s">
        <v>326</v>
      </c>
      <c r="I27" s="3" t="s">
        <v>222</v>
      </c>
      <c r="J27" s="3">
        <v>85295</v>
      </c>
      <c r="K27" s="3"/>
      <c r="L27" s="3" t="s">
        <v>137</v>
      </c>
      <c r="M27" s="2">
        <v>42798</v>
      </c>
      <c r="N27" s="3" t="s">
        <v>138</v>
      </c>
      <c r="O27" s="3" t="s">
        <v>134</v>
      </c>
      <c r="P27" s="13">
        <v>2367513</v>
      </c>
      <c r="Q27" s="3">
        <f t="shared" si="0"/>
        <v>3</v>
      </c>
    </row>
    <row r="28" spans="1:17" x14ac:dyDescent="0.3">
      <c r="A28" s="2">
        <v>42795</v>
      </c>
      <c r="B28" s="3" t="s">
        <v>25</v>
      </c>
      <c r="C28" s="3" t="s">
        <v>26</v>
      </c>
      <c r="D28" s="3" t="s">
        <v>27</v>
      </c>
      <c r="E28" s="3" t="s">
        <v>101</v>
      </c>
      <c r="F28" s="3"/>
      <c r="G28" s="3"/>
      <c r="H28" s="3" t="s">
        <v>161</v>
      </c>
      <c r="I28" s="3"/>
      <c r="J28" s="3"/>
      <c r="K28" s="3"/>
      <c r="L28" s="3" t="s">
        <v>140</v>
      </c>
      <c r="M28" s="2">
        <v>42802</v>
      </c>
      <c r="N28" s="3" t="s">
        <v>138</v>
      </c>
      <c r="O28" s="3" t="s">
        <v>134</v>
      </c>
      <c r="P28" s="13">
        <v>2367674</v>
      </c>
      <c r="Q28" s="3">
        <f t="shared" si="0"/>
        <v>7</v>
      </c>
    </row>
    <row r="29" spans="1:17" x14ac:dyDescent="0.3">
      <c r="A29" s="2">
        <v>42796</v>
      </c>
      <c r="B29" s="3" t="s">
        <v>14</v>
      </c>
      <c r="C29" s="3" t="s">
        <v>23</v>
      </c>
      <c r="D29" s="3" t="s">
        <v>19</v>
      </c>
      <c r="E29" s="3"/>
      <c r="F29" s="3"/>
      <c r="G29" s="3"/>
      <c r="H29" s="3" t="s">
        <v>272</v>
      </c>
      <c r="I29" s="3" t="s">
        <v>250</v>
      </c>
      <c r="J29" s="3">
        <v>6360</v>
      </c>
      <c r="K29" s="3"/>
      <c r="L29" s="3" t="s">
        <v>132</v>
      </c>
      <c r="M29" s="2">
        <v>42800</v>
      </c>
      <c r="N29" s="3" t="s">
        <v>138</v>
      </c>
      <c r="O29" s="3" t="s">
        <v>134</v>
      </c>
      <c r="P29" s="13">
        <v>2369802</v>
      </c>
      <c r="Q29" s="3">
        <f t="shared" si="0"/>
        <v>4</v>
      </c>
    </row>
    <row r="30" spans="1:17" x14ac:dyDescent="0.3">
      <c r="A30" s="2">
        <v>42798</v>
      </c>
      <c r="B30" s="3" t="s">
        <v>14</v>
      </c>
      <c r="C30" s="3" t="s">
        <v>23</v>
      </c>
      <c r="D30" s="3" t="s">
        <v>19</v>
      </c>
      <c r="E30" s="3"/>
      <c r="F30" s="3"/>
      <c r="G30" s="3" t="s">
        <v>141</v>
      </c>
      <c r="H30" s="3" t="s">
        <v>167</v>
      </c>
      <c r="I30" s="3" t="s">
        <v>226</v>
      </c>
      <c r="J30" s="3">
        <v>48328</v>
      </c>
      <c r="K30" s="3"/>
      <c r="L30" s="3" t="s">
        <v>137</v>
      </c>
      <c r="M30" s="2">
        <v>42798</v>
      </c>
      <c r="N30" s="3" t="s">
        <v>138</v>
      </c>
      <c r="O30" s="3" t="s">
        <v>134</v>
      </c>
      <c r="P30" s="13">
        <v>2371574</v>
      </c>
      <c r="Q30" s="3">
        <f t="shared" si="0"/>
        <v>0</v>
      </c>
    </row>
    <row r="31" spans="1:17" x14ac:dyDescent="0.3">
      <c r="A31" s="2">
        <v>42798</v>
      </c>
      <c r="B31" s="3" t="s">
        <v>8</v>
      </c>
      <c r="C31" s="3" t="s">
        <v>12</v>
      </c>
      <c r="D31" s="3" t="s">
        <v>76</v>
      </c>
      <c r="E31" s="3" t="s">
        <v>77</v>
      </c>
      <c r="F31" s="3"/>
      <c r="G31" s="3"/>
      <c r="H31" s="3" t="s">
        <v>260</v>
      </c>
      <c r="I31" s="3" t="s">
        <v>261</v>
      </c>
      <c r="J31" s="3">
        <v>43235</v>
      </c>
      <c r="K31" s="3"/>
      <c r="L31" s="3" t="s">
        <v>137</v>
      </c>
      <c r="M31" s="2">
        <v>42798</v>
      </c>
      <c r="N31" s="3" t="s">
        <v>138</v>
      </c>
      <c r="O31" s="3" t="s">
        <v>134</v>
      </c>
      <c r="P31" s="13">
        <v>2371593</v>
      </c>
      <c r="Q31" s="3">
        <f t="shared" si="0"/>
        <v>0</v>
      </c>
    </row>
    <row r="32" spans="1:17" x14ac:dyDescent="0.3">
      <c r="A32" s="2">
        <v>42798</v>
      </c>
      <c r="B32" s="3" t="s">
        <v>5</v>
      </c>
      <c r="C32" s="3"/>
      <c r="D32" s="3" t="s">
        <v>43</v>
      </c>
      <c r="E32" s="3" t="s">
        <v>102</v>
      </c>
      <c r="F32" s="3"/>
      <c r="G32" s="3"/>
      <c r="H32" s="3" t="s">
        <v>183</v>
      </c>
      <c r="I32" s="3" t="s">
        <v>148</v>
      </c>
      <c r="J32" s="3">
        <v>14610</v>
      </c>
      <c r="K32" s="3"/>
      <c r="L32" s="3" t="s">
        <v>137</v>
      </c>
      <c r="M32" s="2">
        <v>42798</v>
      </c>
      <c r="N32" s="3" t="s">
        <v>138</v>
      </c>
      <c r="O32" s="3" t="s">
        <v>134</v>
      </c>
      <c r="P32" s="13">
        <v>2371598</v>
      </c>
      <c r="Q32" s="3">
        <f t="shared" si="0"/>
        <v>0</v>
      </c>
    </row>
    <row r="33" spans="1:17" x14ac:dyDescent="0.3">
      <c r="A33" s="2">
        <v>42798</v>
      </c>
      <c r="B33" s="3" t="s">
        <v>8</v>
      </c>
      <c r="C33" s="3" t="s">
        <v>12</v>
      </c>
      <c r="D33" s="3" t="s">
        <v>76</v>
      </c>
      <c r="E33" s="3" t="s">
        <v>83</v>
      </c>
      <c r="F33" s="3"/>
      <c r="G33" s="3"/>
      <c r="H33" s="3" t="s">
        <v>357</v>
      </c>
      <c r="I33" s="3" t="s">
        <v>188</v>
      </c>
      <c r="J33" s="3">
        <v>27597</v>
      </c>
      <c r="K33" s="3"/>
      <c r="L33" s="3" t="s">
        <v>137</v>
      </c>
      <c r="M33" s="2">
        <v>42798</v>
      </c>
      <c r="N33" s="3" t="s">
        <v>138</v>
      </c>
      <c r="O33" s="3" t="s">
        <v>134</v>
      </c>
      <c r="P33" s="13">
        <v>2371600</v>
      </c>
      <c r="Q33" s="3">
        <f t="shared" si="0"/>
        <v>0</v>
      </c>
    </row>
    <row r="34" spans="1:17" x14ac:dyDescent="0.3">
      <c r="A34" s="2">
        <v>42798</v>
      </c>
      <c r="B34" s="3" t="s">
        <v>12</v>
      </c>
      <c r="C34" s="3"/>
      <c r="D34" s="3" t="s">
        <v>72</v>
      </c>
      <c r="E34" s="3"/>
      <c r="F34" s="3" t="s">
        <v>233</v>
      </c>
      <c r="G34" s="3"/>
      <c r="H34" s="3" t="s">
        <v>191</v>
      </c>
      <c r="I34" s="3" t="s">
        <v>194</v>
      </c>
      <c r="J34" s="3" t="s">
        <v>234</v>
      </c>
      <c r="K34" s="3" t="s">
        <v>131</v>
      </c>
      <c r="L34" s="3" t="s">
        <v>137</v>
      </c>
      <c r="M34" s="2">
        <v>42798</v>
      </c>
      <c r="N34" s="3" t="s">
        <v>159</v>
      </c>
      <c r="O34" s="3" t="s">
        <v>134</v>
      </c>
      <c r="P34" s="13">
        <v>2371616</v>
      </c>
      <c r="Q34" s="3">
        <f t="shared" si="0"/>
        <v>0</v>
      </c>
    </row>
    <row r="35" spans="1:17" x14ac:dyDescent="0.3">
      <c r="A35" s="2">
        <v>42798</v>
      </c>
      <c r="B35" s="3" t="s">
        <v>14</v>
      </c>
      <c r="C35" s="3" t="s">
        <v>15</v>
      </c>
      <c r="D35" s="3" t="s">
        <v>16</v>
      </c>
      <c r="E35" s="3"/>
      <c r="F35" s="3"/>
      <c r="G35" s="3"/>
      <c r="H35" s="3" t="s">
        <v>191</v>
      </c>
      <c r="I35" s="3" t="s">
        <v>188</v>
      </c>
      <c r="J35" s="3">
        <v>28731</v>
      </c>
      <c r="K35" s="3" t="s">
        <v>131</v>
      </c>
      <c r="L35" s="3" t="s">
        <v>137</v>
      </c>
      <c r="M35" s="2">
        <v>42798</v>
      </c>
      <c r="N35" s="3" t="s">
        <v>138</v>
      </c>
      <c r="O35" s="3" t="s">
        <v>134</v>
      </c>
      <c r="P35" s="13">
        <v>2371632</v>
      </c>
      <c r="Q35" s="3">
        <f t="shared" si="0"/>
        <v>0</v>
      </c>
    </row>
    <row r="36" spans="1:17" x14ac:dyDescent="0.3">
      <c r="A36" s="2">
        <v>42798</v>
      </c>
      <c r="B36" s="3" t="s">
        <v>20</v>
      </c>
      <c r="C36" s="3" t="s">
        <v>35</v>
      </c>
      <c r="D36" s="3" t="s">
        <v>70</v>
      </c>
      <c r="E36" s="3"/>
      <c r="F36" s="3"/>
      <c r="G36" s="3"/>
      <c r="H36" s="3" t="s">
        <v>232</v>
      </c>
      <c r="I36" s="3" t="s">
        <v>188</v>
      </c>
      <c r="J36" s="3">
        <v>28405</v>
      </c>
      <c r="K36" s="3"/>
      <c r="L36" s="3" t="s">
        <v>137</v>
      </c>
      <c r="M36" s="2">
        <v>42798</v>
      </c>
      <c r="N36" s="3" t="s">
        <v>138</v>
      </c>
      <c r="O36" s="3" t="s">
        <v>134</v>
      </c>
      <c r="P36" s="13">
        <v>2371634</v>
      </c>
      <c r="Q36" s="3">
        <f t="shared" si="0"/>
        <v>0</v>
      </c>
    </row>
    <row r="37" spans="1:17" x14ac:dyDescent="0.3">
      <c r="A37" s="2">
        <v>42798</v>
      </c>
      <c r="B37" s="3" t="s">
        <v>8</v>
      </c>
      <c r="C37" s="3" t="s">
        <v>12</v>
      </c>
      <c r="D37" s="3" t="s">
        <v>76</v>
      </c>
      <c r="E37" s="3" t="s">
        <v>83</v>
      </c>
      <c r="F37" s="3"/>
      <c r="G37" s="3"/>
      <c r="H37" s="3" t="s">
        <v>200</v>
      </c>
      <c r="I37" s="3" t="s">
        <v>188</v>
      </c>
      <c r="J37" s="3">
        <v>27597</v>
      </c>
      <c r="K37" s="3"/>
      <c r="L37" s="3" t="s">
        <v>137</v>
      </c>
      <c r="M37" s="2">
        <v>42798</v>
      </c>
      <c r="N37" s="3" t="s">
        <v>138</v>
      </c>
      <c r="O37" s="3" t="s">
        <v>134</v>
      </c>
      <c r="P37" s="13">
        <v>2371642</v>
      </c>
      <c r="Q37" s="3">
        <f t="shared" si="0"/>
        <v>0</v>
      </c>
    </row>
    <row r="38" spans="1:17" x14ac:dyDescent="0.3">
      <c r="A38" s="2">
        <v>42798</v>
      </c>
      <c r="B38" s="3" t="s">
        <v>5</v>
      </c>
      <c r="C38" s="3"/>
      <c r="D38" s="3" t="s">
        <v>43</v>
      </c>
      <c r="E38" s="3" t="s">
        <v>44</v>
      </c>
      <c r="F38" s="3"/>
      <c r="G38" s="3"/>
      <c r="H38" s="3" t="s">
        <v>183</v>
      </c>
      <c r="I38" s="3" t="s">
        <v>143</v>
      </c>
      <c r="J38" s="3">
        <v>92683</v>
      </c>
      <c r="K38" s="3"/>
      <c r="L38" s="3" t="s">
        <v>137</v>
      </c>
      <c r="M38" s="2">
        <v>42798</v>
      </c>
      <c r="N38" s="3" t="s">
        <v>138</v>
      </c>
      <c r="O38" s="3" t="s">
        <v>134</v>
      </c>
      <c r="P38" s="13">
        <v>2371648</v>
      </c>
      <c r="Q38" s="3">
        <f t="shared" si="0"/>
        <v>0</v>
      </c>
    </row>
    <row r="39" spans="1:17" x14ac:dyDescent="0.3">
      <c r="A39" s="2">
        <v>42798</v>
      </c>
      <c r="B39" s="3" t="s">
        <v>25</v>
      </c>
      <c r="C39" s="3" t="s">
        <v>26</v>
      </c>
      <c r="D39" s="3" t="s">
        <v>37</v>
      </c>
      <c r="E39" s="3" t="s">
        <v>38</v>
      </c>
      <c r="F39" s="3" t="s">
        <v>300</v>
      </c>
      <c r="G39" s="3"/>
      <c r="H39" s="3" t="s">
        <v>161</v>
      </c>
      <c r="I39" s="3" t="s">
        <v>194</v>
      </c>
      <c r="J39" s="3" t="s">
        <v>301</v>
      </c>
      <c r="K39" s="3"/>
      <c r="L39" s="3" t="s">
        <v>137</v>
      </c>
      <c r="M39" s="2">
        <v>42798</v>
      </c>
      <c r="N39" s="3" t="s">
        <v>138</v>
      </c>
      <c r="O39" s="3" t="s">
        <v>134</v>
      </c>
      <c r="P39" s="13">
        <v>2371677</v>
      </c>
      <c r="Q39" s="3">
        <f t="shared" si="0"/>
        <v>0</v>
      </c>
    </row>
    <row r="40" spans="1:17" x14ac:dyDescent="0.3">
      <c r="A40" s="2">
        <v>42798</v>
      </c>
      <c r="B40" s="3" t="s">
        <v>8</v>
      </c>
      <c r="C40" s="3" t="s">
        <v>12</v>
      </c>
      <c r="D40" s="3" t="s">
        <v>10</v>
      </c>
      <c r="E40" s="3" t="s">
        <v>18</v>
      </c>
      <c r="F40" s="3"/>
      <c r="G40" s="3"/>
      <c r="H40" s="3" t="s">
        <v>200</v>
      </c>
      <c r="I40" s="3" t="s">
        <v>188</v>
      </c>
      <c r="J40" s="3">
        <v>27597</v>
      </c>
      <c r="K40" s="3"/>
      <c r="L40" s="3" t="s">
        <v>137</v>
      </c>
      <c r="M40" s="2">
        <v>42798</v>
      </c>
      <c r="N40" s="3" t="s">
        <v>138</v>
      </c>
      <c r="O40" s="3" t="s">
        <v>134</v>
      </c>
      <c r="P40" s="13">
        <v>2371691</v>
      </c>
      <c r="Q40" s="3">
        <f t="shared" si="0"/>
        <v>0</v>
      </c>
    </row>
    <row r="41" spans="1:17" x14ac:dyDescent="0.3">
      <c r="A41" s="2">
        <v>42798</v>
      </c>
      <c r="B41" s="3" t="s">
        <v>20</v>
      </c>
      <c r="C41" s="3" t="s">
        <v>21</v>
      </c>
      <c r="D41" s="3" t="s">
        <v>34</v>
      </c>
      <c r="E41" s="3"/>
      <c r="F41" s="3" t="s">
        <v>201</v>
      </c>
      <c r="G41" s="3"/>
      <c r="H41" s="3" t="s">
        <v>191</v>
      </c>
      <c r="I41" s="3" t="s">
        <v>202</v>
      </c>
      <c r="J41" s="3" t="s">
        <v>203</v>
      </c>
      <c r="K41" s="3"/>
      <c r="L41" s="3" t="s">
        <v>137</v>
      </c>
      <c r="M41" s="2">
        <v>42798</v>
      </c>
      <c r="N41" s="3" t="s">
        <v>138</v>
      </c>
      <c r="O41" s="3" t="s">
        <v>134</v>
      </c>
      <c r="P41" s="13">
        <v>2371744</v>
      </c>
      <c r="Q41" s="3">
        <f t="shared" si="0"/>
        <v>0</v>
      </c>
    </row>
    <row r="42" spans="1:17" x14ac:dyDescent="0.3">
      <c r="A42" s="2">
        <v>42798</v>
      </c>
      <c r="B42" s="3" t="s">
        <v>5</v>
      </c>
      <c r="C42" s="3"/>
      <c r="D42" s="3" t="s">
        <v>43</v>
      </c>
      <c r="E42" s="3" t="s">
        <v>94</v>
      </c>
      <c r="F42" s="3"/>
      <c r="G42" s="3"/>
      <c r="H42" s="3" t="s">
        <v>183</v>
      </c>
      <c r="I42" s="3" t="s">
        <v>171</v>
      </c>
      <c r="J42" s="3">
        <v>30122</v>
      </c>
      <c r="K42" s="3"/>
      <c r="L42" s="3" t="s">
        <v>137</v>
      </c>
      <c r="M42" s="2">
        <v>42798</v>
      </c>
      <c r="N42" s="3" t="s">
        <v>138</v>
      </c>
      <c r="O42" s="3" t="s">
        <v>134</v>
      </c>
      <c r="P42" s="13">
        <v>2371764</v>
      </c>
      <c r="Q42" s="3">
        <f t="shared" si="0"/>
        <v>0</v>
      </c>
    </row>
    <row r="43" spans="1:17" x14ac:dyDescent="0.3">
      <c r="A43" s="2">
        <v>42798</v>
      </c>
      <c r="B43" s="3" t="s">
        <v>8</v>
      </c>
      <c r="C43" s="3" t="s">
        <v>9</v>
      </c>
      <c r="D43" s="3" t="s">
        <v>10</v>
      </c>
      <c r="E43" s="3" t="s">
        <v>18</v>
      </c>
      <c r="F43" s="3"/>
      <c r="G43" s="3"/>
      <c r="H43" s="3" t="s">
        <v>325</v>
      </c>
      <c r="I43" s="3" t="s">
        <v>238</v>
      </c>
      <c r="J43" s="3">
        <v>4069</v>
      </c>
      <c r="K43" s="3"/>
      <c r="L43" s="3" t="s">
        <v>137</v>
      </c>
      <c r="M43" s="2">
        <v>42798</v>
      </c>
      <c r="N43" s="3" t="s">
        <v>138</v>
      </c>
      <c r="O43" s="3" t="s">
        <v>134</v>
      </c>
      <c r="P43" s="13">
        <v>2371781</v>
      </c>
      <c r="Q43" s="3">
        <f t="shared" si="0"/>
        <v>0</v>
      </c>
    </row>
    <row r="44" spans="1:17" x14ac:dyDescent="0.3">
      <c r="A44" s="2">
        <v>42798</v>
      </c>
      <c r="B44" s="3" t="s">
        <v>8</v>
      </c>
      <c r="C44" s="3" t="s">
        <v>12</v>
      </c>
      <c r="D44" s="3" t="s">
        <v>87</v>
      </c>
      <c r="E44" s="3" t="s">
        <v>116</v>
      </c>
      <c r="F44" s="3"/>
      <c r="G44" s="3"/>
      <c r="H44" s="3" t="s">
        <v>322</v>
      </c>
      <c r="I44" s="3" t="s">
        <v>164</v>
      </c>
      <c r="J44" s="3">
        <v>21244</v>
      </c>
      <c r="K44" s="3"/>
      <c r="L44" s="3" t="s">
        <v>137</v>
      </c>
      <c r="M44" s="2">
        <v>42798</v>
      </c>
      <c r="N44" s="3" t="s">
        <v>133</v>
      </c>
      <c r="O44" s="3" t="s">
        <v>134</v>
      </c>
      <c r="P44" s="13">
        <v>2371786</v>
      </c>
      <c r="Q44" s="3">
        <f t="shared" si="0"/>
        <v>0</v>
      </c>
    </row>
    <row r="45" spans="1:17" x14ac:dyDescent="0.3">
      <c r="A45" s="2">
        <v>42798</v>
      </c>
      <c r="B45" s="3" t="s">
        <v>5</v>
      </c>
      <c r="C45" s="3"/>
      <c r="D45" s="3" t="s">
        <v>6</v>
      </c>
      <c r="E45" s="3" t="s">
        <v>68</v>
      </c>
      <c r="F45" s="3"/>
      <c r="G45" s="3"/>
      <c r="H45" s="3" t="s">
        <v>183</v>
      </c>
      <c r="I45" s="3" t="s">
        <v>153</v>
      </c>
      <c r="J45" s="3">
        <v>7843</v>
      </c>
      <c r="K45" s="3"/>
      <c r="L45" s="3" t="s">
        <v>137</v>
      </c>
      <c r="M45" s="2">
        <v>42798</v>
      </c>
      <c r="N45" s="3" t="s">
        <v>133</v>
      </c>
      <c r="O45" s="3" t="s">
        <v>134</v>
      </c>
      <c r="P45" s="13">
        <v>2371789</v>
      </c>
      <c r="Q45" s="3">
        <f t="shared" si="0"/>
        <v>0</v>
      </c>
    </row>
    <row r="46" spans="1:17" x14ac:dyDescent="0.3">
      <c r="A46" s="2">
        <v>42798</v>
      </c>
      <c r="B46" s="3" t="s">
        <v>8</v>
      </c>
      <c r="C46" s="3" t="s">
        <v>9</v>
      </c>
      <c r="D46" s="3" t="s">
        <v>49</v>
      </c>
      <c r="E46" s="3" t="s">
        <v>50</v>
      </c>
      <c r="F46" s="3"/>
      <c r="G46" s="3"/>
      <c r="H46" s="3" t="s">
        <v>190</v>
      </c>
      <c r="I46" s="3" t="s">
        <v>130</v>
      </c>
      <c r="J46" s="3">
        <v>75686</v>
      </c>
      <c r="K46" s="3"/>
      <c r="L46" s="3" t="s">
        <v>137</v>
      </c>
      <c r="M46" s="2">
        <v>42798</v>
      </c>
      <c r="N46" s="3" t="s">
        <v>138</v>
      </c>
      <c r="O46" s="3" t="s">
        <v>134</v>
      </c>
      <c r="P46" s="13">
        <v>2371815</v>
      </c>
      <c r="Q46" s="3">
        <f t="shared" si="0"/>
        <v>0</v>
      </c>
    </row>
    <row r="47" spans="1:17" x14ac:dyDescent="0.3">
      <c r="A47" s="2">
        <v>42798</v>
      </c>
      <c r="B47" s="3" t="s">
        <v>20</v>
      </c>
      <c r="C47" s="3" t="s">
        <v>35</v>
      </c>
      <c r="D47" s="3" t="s">
        <v>34</v>
      </c>
      <c r="E47" s="3"/>
      <c r="F47" s="3"/>
      <c r="G47" s="3"/>
      <c r="H47" s="3" t="s">
        <v>193</v>
      </c>
      <c r="I47" s="3" t="s">
        <v>164</v>
      </c>
      <c r="J47" s="3">
        <v>20852</v>
      </c>
      <c r="K47" s="3"/>
      <c r="L47" s="3" t="s">
        <v>137</v>
      </c>
      <c r="M47" s="2">
        <v>42798</v>
      </c>
      <c r="N47" s="3" t="s">
        <v>138</v>
      </c>
      <c r="O47" s="3" t="s">
        <v>134</v>
      </c>
      <c r="P47" s="13">
        <v>2371846</v>
      </c>
      <c r="Q47" s="3">
        <f t="shared" si="0"/>
        <v>0</v>
      </c>
    </row>
    <row r="48" spans="1:17" x14ac:dyDescent="0.3">
      <c r="A48" s="2">
        <v>42798</v>
      </c>
      <c r="B48" s="3" t="s">
        <v>8</v>
      </c>
      <c r="C48" s="3" t="s">
        <v>9</v>
      </c>
      <c r="D48" s="3" t="s">
        <v>96</v>
      </c>
      <c r="E48" s="3" t="s">
        <v>109</v>
      </c>
      <c r="F48" s="3" t="s">
        <v>330</v>
      </c>
      <c r="G48" s="3"/>
      <c r="H48" s="3" t="s">
        <v>331</v>
      </c>
      <c r="I48" s="3" t="s">
        <v>185</v>
      </c>
      <c r="J48" s="3" t="s">
        <v>332</v>
      </c>
      <c r="K48" s="3"/>
      <c r="L48" s="3" t="s">
        <v>137</v>
      </c>
      <c r="M48" s="2">
        <v>42798</v>
      </c>
      <c r="N48" s="3" t="s">
        <v>133</v>
      </c>
      <c r="O48" s="3" t="s">
        <v>160</v>
      </c>
      <c r="P48" s="13">
        <v>2371864</v>
      </c>
      <c r="Q48" s="3">
        <f t="shared" si="0"/>
        <v>0</v>
      </c>
    </row>
    <row r="49" spans="1:17" x14ac:dyDescent="0.3">
      <c r="A49" s="2">
        <v>42798</v>
      </c>
      <c r="B49" s="3" t="s">
        <v>5</v>
      </c>
      <c r="C49" s="3"/>
      <c r="D49" s="3" t="s">
        <v>6</v>
      </c>
      <c r="E49" s="3" t="s">
        <v>7</v>
      </c>
      <c r="F49" s="3"/>
      <c r="G49" s="3"/>
      <c r="H49" s="3" t="s">
        <v>183</v>
      </c>
      <c r="I49" s="3" t="s">
        <v>177</v>
      </c>
      <c r="J49" s="3">
        <v>19148</v>
      </c>
      <c r="K49" s="3" t="s">
        <v>186</v>
      </c>
      <c r="L49" s="3" t="s">
        <v>137</v>
      </c>
      <c r="M49" s="2">
        <v>42798</v>
      </c>
      <c r="N49" s="3" t="s">
        <v>138</v>
      </c>
      <c r="O49" s="3" t="s">
        <v>134</v>
      </c>
      <c r="P49" s="13">
        <v>2371893</v>
      </c>
      <c r="Q49" s="3">
        <f t="shared" si="0"/>
        <v>0</v>
      </c>
    </row>
    <row r="50" spans="1:17" x14ac:dyDescent="0.3">
      <c r="A50" s="2">
        <v>42798</v>
      </c>
      <c r="B50" s="3" t="s">
        <v>25</v>
      </c>
      <c r="C50" s="3" t="s">
        <v>26</v>
      </c>
      <c r="D50" s="3" t="s">
        <v>37</v>
      </c>
      <c r="E50" s="3" t="s">
        <v>59</v>
      </c>
      <c r="F50" s="3" t="s">
        <v>208</v>
      </c>
      <c r="G50" s="3"/>
      <c r="H50" s="3" t="s">
        <v>176</v>
      </c>
      <c r="I50" s="3" t="s">
        <v>209</v>
      </c>
      <c r="J50" s="3" t="s">
        <v>210</v>
      </c>
      <c r="K50" s="3"/>
      <c r="L50" s="3" t="s">
        <v>137</v>
      </c>
      <c r="M50" s="2">
        <v>42798</v>
      </c>
      <c r="N50" s="3" t="s">
        <v>138</v>
      </c>
      <c r="O50" s="3" t="s">
        <v>134</v>
      </c>
      <c r="P50" s="13">
        <v>2371928</v>
      </c>
      <c r="Q50" s="3">
        <f t="shared" si="0"/>
        <v>0</v>
      </c>
    </row>
    <row r="51" spans="1:17" x14ac:dyDescent="0.3">
      <c r="A51" s="2">
        <v>42798</v>
      </c>
      <c r="B51" s="3" t="s">
        <v>39</v>
      </c>
      <c r="C51" s="3" t="s">
        <v>40</v>
      </c>
      <c r="D51" s="3" t="s">
        <v>41</v>
      </c>
      <c r="E51" s="3"/>
      <c r="F51" s="3"/>
      <c r="G51" s="3"/>
      <c r="H51" s="3" t="s">
        <v>253</v>
      </c>
      <c r="I51" s="3" t="s">
        <v>136</v>
      </c>
      <c r="J51" s="3">
        <v>60653</v>
      </c>
      <c r="K51" s="3"/>
      <c r="L51" s="3" t="s">
        <v>137</v>
      </c>
      <c r="M51" s="2">
        <v>42798</v>
      </c>
      <c r="N51" s="3" t="s">
        <v>138</v>
      </c>
      <c r="O51" s="3" t="s">
        <v>134</v>
      </c>
      <c r="P51" s="13">
        <v>2371938</v>
      </c>
      <c r="Q51" s="3">
        <f t="shared" si="0"/>
        <v>0</v>
      </c>
    </row>
    <row r="52" spans="1:17" ht="57.6" x14ac:dyDescent="0.3">
      <c r="A52" s="2">
        <v>42799</v>
      </c>
      <c r="B52" s="3" t="s">
        <v>8</v>
      </c>
      <c r="C52" s="3" t="s">
        <v>86</v>
      </c>
      <c r="D52" s="3" t="s">
        <v>76</v>
      </c>
      <c r="E52" s="3" t="s">
        <v>83</v>
      </c>
      <c r="F52" s="6" t="s">
        <v>327</v>
      </c>
      <c r="G52" s="3" t="s">
        <v>128</v>
      </c>
      <c r="H52" s="3" t="s">
        <v>328</v>
      </c>
      <c r="I52" s="3" t="s">
        <v>130</v>
      </c>
      <c r="J52" s="3" t="s">
        <v>246</v>
      </c>
      <c r="K52" s="3"/>
      <c r="L52" s="3" t="s">
        <v>137</v>
      </c>
      <c r="M52" s="2">
        <v>42799</v>
      </c>
      <c r="N52" s="3" t="s">
        <v>138</v>
      </c>
      <c r="O52" s="3" t="s">
        <v>134</v>
      </c>
      <c r="P52" s="13">
        <v>2372209</v>
      </c>
      <c r="Q52" s="3">
        <f t="shared" si="0"/>
        <v>0</v>
      </c>
    </row>
    <row r="53" spans="1:17" x14ac:dyDescent="0.3">
      <c r="A53" s="2">
        <v>42800</v>
      </c>
      <c r="B53" s="3" t="s">
        <v>5</v>
      </c>
      <c r="C53" s="3"/>
      <c r="D53" s="3" t="s">
        <v>6</v>
      </c>
      <c r="E53" s="3" t="s">
        <v>53</v>
      </c>
      <c r="F53" s="3" t="s">
        <v>247</v>
      </c>
      <c r="G53" s="3" t="s">
        <v>141</v>
      </c>
      <c r="H53" s="3" t="s">
        <v>248</v>
      </c>
      <c r="I53" s="3" t="s">
        <v>171</v>
      </c>
      <c r="J53" s="3" t="s">
        <v>249</v>
      </c>
      <c r="K53" s="3"/>
      <c r="L53" s="3" t="s">
        <v>137</v>
      </c>
      <c r="M53" s="2">
        <v>42802</v>
      </c>
      <c r="N53" s="3" t="s">
        <v>138</v>
      </c>
      <c r="O53" s="3" t="s">
        <v>134</v>
      </c>
      <c r="P53" s="13">
        <v>2373228</v>
      </c>
      <c r="Q53" s="3">
        <f t="shared" si="0"/>
        <v>2</v>
      </c>
    </row>
    <row r="54" spans="1:17" x14ac:dyDescent="0.3">
      <c r="A54" s="2">
        <v>42801</v>
      </c>
      <c r="B54" s="3" t="s">
        <v>8</v>
      </c>
      <c r="C54" s="3" t="s">
        <v>9</v>
      </c>
      <c r="D54" s="3" t="s">
        <v>87</v>
      </c>
      <c r="E54" s="3" t="s">
        <v>88</v>
      </c>
      <c r="F54" s="3"/>
      <c r="G54" s="3"/>
      <c r="H54" s="3" t="s">
        <v>200</v>
      </c>
      <c r="I54" s="3" t="s">
        <v>153</v>
      </c>
      <c r="J54" s="3">
        <v>7111</v>
      </c>
      <c r="K54" s="3"/>
      <c r="L54" s="3" t="s">
        <v>132</v>
      </c>
      <c r="M54" s="2">
        <v>42801</v>
      </c>
      <c r="N54" s="3" t="s">
        <v>138</v>
      </c>
      <c r="O54" s="3" t="s">
        <v>134</v>
      </c>
      <c r="P54" s="13">
        <v>2374511</v>
      </c>
      <c r="Q54" s="3">
        <f t="shared" si="0"/>
        <v>0</v>
      </c>
    </row>
    <row r="55" spans="1:17" x14ac:dyDescent="0.3">
      <c r="A55" s="2">
        <v>42804</v>
      </c>
      <c r="B55" s="3" t="s">
        <v>8</v>
      </c>
      <c r="C55" s="3" t="s">
        <v>14</v>
      </c>
      <c r="D55" s="3" t="s">
        <v>10</v>
      </c>
      <c r="E55" s="3" t="s">
        <v>18</v>
      </c>
      <c r="F55" s="3"/>
      <c r="G55" s="3"/>
      <c r="H55" s="3" t="s">
        <v>236</v>
      </c>
      <c r="I55" s="3" t="s">
        <v>153</v>
      </c>
      <c r="J55" s="3">
        <v>7747</v>
      </c>
      <c r="K55" s="3"/>
      <c r="L55" s="3" t="s">
        <v>140</v>
      </c>
      <c r="M55" s="2">
        <v>42808</v>
      </c>
      <c r="N55" s="3" t="s">
        <v>138</v>
      </c>
      <c r="O55" s="3" t="s">
        <v>134</v>
      </c>
      <c r="P55" s="13">
        <v>2380778</v>
      </c>
      <c r="Q55" s="3">
        <f t="shared" si="0"/>
        <v>4</v>
      </c>
    </row>
    <row r="56" spans="1:17" x14ac:dyDescent="0.3">
      <c r="A56" s="2">
        <v>42804</v>
      </c>
      <c r="B56" s="3" t="s">
        <v>14</v>
      </c>
      <c r="C56" s="3" t="s">
        <v>69</v>
      </c>
      <c r="D56" s="3" t="s">
        <v>16</v>
      </c>
      <c r="E56" s="3"/>
      <c r="F56" s="3"/>
      <c r="G56" s="3" t="s">
        <v>128</v>
      </c>
      <c r="H56" s="3" t="s">
        <v>174</v>
      </c>
      <c r="I56" s="3" t="s">
        <v>175</v>
      </c>
      <c r="J56" s="3">
        <v>98532</v>
      </c>
      <c r="K56" s="3" t="s">
        <v>230</v>
      </c>
      <c r="L56" s="3" t="s">
        <v>231</v>
      </c>
      <c r="M56" s="2">
        <v>42808</v>
      </c>
      <c r="N56" s="3" t="s">
        <v>138</v>
      </c>
      <c r="O56" s="3" t="s">
        <v>134</v>
      </c>
      <c r="P56" s="13">
        <v>2381695</v>
      </c>
      <c r="Q56" s="3">
        <f t="shared" si="0"/>
        <v>4</v>
      </c>
    </row>
    <row r="57" spans="1:17" x14ac:dyDescent="0.3">
      <c r="A57" s="2">
        <v>42807</v>
      </c>
      <c r="B57" s="3" t="s">
        <v>8</v>
      </c>
      <c r="C57" s="3" t="s">
        <v>86</v>
      </c>
      <c r="D57" s="3" t="s">
        <v>76</v>
      </c>
      <c r="E57" s="3" t="s">
        <v>108</v>
      </c>
      <c r="F57" s="3" t="s">
        <v>341</v>
      </c>
      <c r="G57" s="3" t="s">
        <v>342</v>
      </c>
      <c r="H57" s="3" t="s">
        <v>223</v>
      </c>
      <c r="I57" s="3" t="s">
        <v>343</v>
      </c>
      <c r="J57" s="3" t="s">
        <v>344</v>
      </c>
      <c r="K57" s="3"/>
      <c r="L57" s="3" t="s">
        <v>137</v>
      </c>
      <c r="M57" s="2">
        <v>42809</v>
      </c>
      <c r="N57" s="3" t="s">
        <v>138</v>
      </c>
      <c r="O57" s="3" t="s">
        <v>160</v>
      </c>
      <c r="P57" s="13">
        <v>2383241</v>
      </c>
      <c r="Q57" s="3">
        <f t="shared" si="0"/>
        <v>2</v>
      </c>
    </row>
    <row r="58" spans="1:17" x14ac:dyDescent="0.3">
      <c r="A58" s="2">
        <v>42811</v>
      </c>
      <c r="B58" s="3" t="s">
        <v>8</v>
      </c>
      <c r="C58" s="3" t="s">
        <v>12</v>
      </c>
      <c r="D58" s="3" t="s">
        <v>10</v>
      </c>
      <c r="E58" s="3" t="s">
        <v>18</v>
      </c>
      <c r="F58" s="3"/>
      <c r="G58" s="3" t="s">
        <v>128</v>
      </c>
      <c r="H58" s="3" t="s">
        <v>139</v>
      </c>
      <c r="I58" s="3" t="s">
        <v>145</v>
      </c>
      <c r="J58" s="3">
        <v>71292</v>
      </c>
      <c r="K58" s="3"/>
      <c r="L58" s="3" t="s">
        <v>137</v>
      </c>
      <c r="M58" s="2">
        <v>42812</v>
      </c>
      <c r="N58" s="3" t="s">
        <v>133</v>
      </c>
      <c r="O58" s="3" t="s">
        <v>134</v>
      </c>
      <c r="P58" s="13">
        <v>2389782</v>
      </c>
      <c r="Q58" s="3">
        <f t="shared" si="0"/>
        <v>1</v>
      </c>
    </row>
    <row r="59" spans="1:17" x14ac:dyDescent="0.3">
      <c r="A59" s="2">
        <v>42810</v>
      </c>
      <c r="B59" s="3" t="s">
        <v>14</v>
      </c>
      <c r="C59" s="3" t="s">
        <v>15</v>
      </c>
      <c r="D59" s="3" t="s">
        <v>71</v>
      </c>
      <c r="E59" s="3"/>
      <c r="F59" s="3"/>
      <c r="G59" s="3" t="s">
        <v>293</v>
      </c>
      <c r="H59" s="3" t="s">
        <v>294</v>
      </c>
      <c r="I59" s="3" t="s">
        <v>185</v>
      </c>
      <c r="J59" s="3">
        <v>20176</v>
      </c>
      <c r="K59" s="3"/>
      <c r="L59" s="3" t="s">
        <v>137</v>
      </c>
      <c r="M59" s="2">
        <v>42844</v>
      </c>
      <c r="N59" s="3" t="s">
        <v>138</v>
      </c>
      <c r="O59" s="3" t="s">
        <v>134</v>
      </c>
      <c r="P59" s="13">
        <v>2390487</v>
      </c>
      <c r="Q59" s="3">
        <f t="shared" si="0"/>
        <v>34</v>
      </c>
    </row>
    <row r="60" spans="1:17" x14ac:dyDescent="0.3">
      <c r="A60" s="2">
        <v>42811</v>
      </c>
      <c r="B60" s="3" t="s">
        <v>20</v>
      </c>
      <c r="C60" s="3" t="s">
        <v>21</v>
      </c>
      <c r="D60" s="3" t="s">
        <v>22</v>
      </c>
      <c r="E60" s="3"/>
      <c r="F60" s="3"/>
      <c r="G60" s="3" t="s">
        <v>141</v>
      </c>
      <c r="H60" s="3" t="s">
        <v>154</v>
      </c>
      <c r="I60" s="3" t="s">
        <v>155</v>
      </c>
      <c r="J60" s="3">
        <v>54005</v>
      </c>
      <c r="K60" s="3"/>
      <c r="L60" s="3" t="s">
        <v>140</v>
      </c>
      <c r="M60" s="2">
        <v>42814</v>
      </c>
      <c r="N60" s="3" t="s">
        <v>138</v>
      </c>
      <c r="O60" s="3" t="s">
        <v>134</v>
      </c>
      <c r="P60" s="13">
        <v>2393048</v>
      </c>
      <c r="Q60" s="3">
        <f t="shared" si="0"/>
        <v>3</v>
      </c>
    </row>
    <row r="61" spans="1:17" x14ac:dyDescent="0.3">
      <c r="A61" s="2">
        <v>42815</v>
      </c>
      <c r="B61" s="3" t="s">
        <v>12</v>
      </c>
      <c r="C61" s="3"/>
      <c r="D61" s="3" t="s">
        <v>51</v>
      </c>
      <c r="E61" s="3"/>
      <c r="F61" s="3"/>
      <c r="G61" s="3"/>
      <c r="H61" s="3" t="s">
        <v>193</v>
      </c>
      <c r="I61" s="3" t="s">
        <v>151</v>
      </c>
      <c r="J61" s="3">
        <v>32255</v>
      </c>
      <c r="K61" s="3"/>
      <c r="L61" s="3" t="s">
        <v>137</v>
      </c>
      <c r="M61" s="2">
        <v>42816</v>
      </c>
      <c r="N61" s="3" t="s">
        <v>159</v>
      </c>
      <c r="O61" s="3" t="s">
        <v>134</v>
      </c>
      <c r="P61" s="13">
        <v>2395796</v>
      </c>
      <c r="Q61" s="3">
        <f t="shared" si="0"/>
        <v>1</v>
      </c>
    </row>
    <row r="62" spans="1:17" x14ac:dyDescent="0.3">
      <c r="A62" s="2">
        <v>42815</v>
      </c>
      <c r="B62" s="3" t="s">
        <v>5</v>
      </c>
      <c r="C62" s="3"/>
      <c r="D62" s="3" t="s">
        <v>6</v>
      </c>
      <c r="E62" s="3" t="s">
        <v>7</v>
      </c>
      <c r="F62" s="3" t="s">
        <v>320</v>
      </c>
      <c r="G62" s="3" t="s">
        <v>128</v>
      </c>
      <c r="H62" s="3" t="s">
        <v>129</v>
      </c>
      <c r="I62" s="3" t="s">
        <v>136</v>
      </c>
      <c r="J62" s="3" t="s">
        <v>321</v>
      </c>
      <c r="K62" s="3"/>
      <c r="L62" s="3" t="s">
        <v>137</v>
      </c>
      <c r="M62" s="2">
        <v>42815</v>
      </c>
      <c r="N62" s="3" t="s">
        <v>133</v>
      </c>
      <c r="O62" s="3" t="s">
        <v>134</v>
      </c>
      <c r="P62" s="13">
        <v>2397046</v>
      </c>
      <c r="Q62" s="3">
        <f t="shared" si="0"/>
        <v>0</v>
      </c>
    </row>
    <row r="63" spans="1:17" x14ac:dyDescent="0.3">
      <c r="A63" s="2">
        <v>42815</v>
      </c>
      <c r="B63" s="3" t="s">
        <v>5</v>
      </c>
      <c r="C63" s="3"/>
      <c r="D63" s="3" t="s">
        <v>6</v>
      </c>
      <c r="E63" s="3" t="s">
        <v>7</v>
      </c>
      <c r="F63" s="3"/>
      <c r="G63" s="3" t="s">
        <v>128</v>
      </c>
      <c r="H63" s="3" t="s">
        <v>129</v>
      </c>
      <c r="I63" s="3" t="s">
        <v>130</v>
      </c>
      <c r="J63" s="3">
        <v>77075</v>
      </c>
      <c r="K63" s="3" t="s">
        <v>131</v>
      </c>
      <c r="L63" s="3" t="s">
        <v>132</v>
      </c>
      <c r="M63" s="2">
        <v>42815</v>
      </c>
      <c r="N63" s="3" t="s">
        <v>133</v>
      </c>
      <c r="O63" s="3" t="s">
        <v>134</v>
      </c>
      <c r="P63" s="13">
        <v>2397100</v>
      </c>
      <c r="Q63" s="3">
        <f t="shared" si="0"/>
        <v>0</v>
      </c>
    </row>
    <row r="64" spans="1:17" x14ac:dyDescent="0.3">
      <c r="A64" s="2">
        <v>42815</v>
      </c>
      <c r="B64" s="3" t="s">
        <v>5</v>
      </c>
      <c r="C64" s="3"/>
      <c r="D64" s="3" t="s">
        <v>6</v>
      </c>
      <c r="E64" s="3" t="s">
        <v>61</v>
      </c>
      <c r="F64" s="3"/>
      <c r="G64" s="3" t="s">
        <v>128</v>
      </c>
      <c r="H64" s="3" t="s">
        <v>129</v>
      </c>
      <c r="I64" s="3" t="s">
        <v>151</v>
      </c>
      <c r="J64" s="3">
        <v>34275</v>
      </c>
      <c r="K64" s="3"/>
      <c r="L64" s="3" t="s">
        <v>137</v>
      </c>
      <c r="M64" s="2">
        <v>42815</v>
      </c>
      <c r="N64" s="3" t="s">
        <v>138</v>
      </c>
      <c r="O64" s="3" t="s">
        <v>134</v>
      </c>
      <c r="P64" s="13">
        <v>2397793</v>
      </c>
      <c r="Q64" s="3">
        <f t="shared" si="0"/>
        <v>0</v>
      </c>
    </row>
    <row r="65" spans="1:17" x14ac:dyDescent="0.3">
      <c r="A65" s="2">
        <v>42815</v>
      </c>
      <c r="B65" s="3" t="s">
        <v>5</v>
      </c>
      <c r="C65" s="3"/>
      <c r="D65" s="3" t="s">
        <v>6</v>
      </c>
      <c r="E65" s="3" t="s">
        <v>61</v>
      </c>
      <c r="F65" s="3"/>
      <c r="G65" s="3" t="s">
        <v>128</v>
      </c>
      <c r="H65" s="3" t="s">
        <v>129</v>
      </c>
      <c r="I65" s="3" t="s">
        <v>148</v>
      </c>
      <c r="J65" s="3">
        <v>11226</v>
      </c>
      <c r="K65" s="3"/>
      <c r="L65" s="3" t="s">
        <v>137</v>
      </c>
      <c r="M65" s="2">
        <v>42815</v>
      </c>
      <c r="N65" s="3" t="s">
        <v>133</v>
      </c>
      <c r="O65" s="3" t="s">
        <v>134</v>
      </c>
      <c r="P65" s="13">
        <v>2397805</v>
      </c>
      <c r="Q65" s="3">
        <f t="shared" si="0"/>
        <v>0</v>
      </c>
    </row>
    <row r="66" spans="1:17" x14ac:dyDescent="0.3">
      <c r="A66" s="2">
        <v>42816</v>
      </c>
      <c r="B66" s="3" t="s">
        <v>5</v>
      </c>
      <c r="C66" s="3"/>
      <c r="D66" s="3" t="s">
        <v>6</v>
      </c>
      <c r="E66" s="3" t="s">
        <v>61</v>
      </c>
      <c r="F66" s="3"/>
      <c r="G66" s="3" t="s">
        <v>128</v>
      </c>
      <c r="H66" s="3" t="s">
        <v>129</v>
      </c>
      <c r="I66" s="3" t="s">
        <v>143</v>
      </c>
      <c r="J66" s="3">
        <v>93313</v>
      </c>
      <c r="K66" s="3"/>
      <c r="L66" s="3" t="s">
        <v>137</v>
      </c>
      <c r="M66" s="2">
        <v>42816</v>
      </c>
      <c r="N66" s="3" t="s">
        <v>138</v>
      </c>
      <c r="O66" s="3" t="s">
        <v>134</v>
      </c>
      <c r="P66" s="13">
        <v>2397947</v>
      </c>
      <c r="Q66" s="3">
        <f t="shared" si="0"/>
        <v>0</v>
      </c>
    </row>
    <row r="67" spans="1:17" x14ac:dyDescent="0.3">
      <c r="A67" s="2">
        <v>42815</v>
      </c>
      <c r="B67" s="3" t="s">
        <v>5</v>
      </c>
      <c r="C67" s="3"/>
      <c r="D67" s="3" t="s">
        <v>6</v>
      </c>
      <c r="E67" s="3" t="s">
        <v>7</v>
      </c>
      <c r="F67" s="3"/>
      <c r="G67" s="3" t="s">
        <v>128</v>
      </c>
      <c r="H67" s="3" t="s">
        <v>129</v>
      </c>
      <c r="I67" s="3" t="s">
        <v>155</v>
      </c>
      <c r="J67" s="3">
        <v>53405</v>
      </c>
      <c r="K67" s="3"/>
      <c r="L67" s="3" t="s">
        <v>137</v>
      </c>
      <c r="M67" s="2">
        <v>42815</v>
      </c>
      <c r="N67" s="3" t="s">
        <v>138</v>
      </c>
      <c r="O67" s="3" t="s">
        <v>134</v>
      </c>
      <c r="P67" s="13">
        <v>2398113</v>
      </c>
      <c r="Q67" s="3">
        <f t="shared" ref="Q67:Q130" si="1">M67-A67</f>
        <v>0</v>
      </c>
    </row>
    <row r="68" spans="1:17" x14ac:dyDescent="0.3">
      <c r="A68" s="2">
        <v>42815</v>
      </c>
      <c r="B68" s="3" t="s">
        <v>5</v>
      </c>
      <c r="C68" s="3"/>
      <c r="D68" s="3" t="s">
        <v>6</v>
      </c>
      <c r="E68" s="3" t="s">
        <v>53</v>
      </c>
      <c r="F68" s="3" t="s">
        <v>224</v>
      </c>
      <c r="G68" s="3" t="s">
        <v>128</v>
      </c>
      <c r="H68" s="3" t="s">
        <v>129</v>
      </c>
      <c r="I68" s="3" t="s">
        <v>177</v>
      </c>
      <c r="J68" s="3" t="s">
        <v>225</v>
      </c>
      <c r="K68" s="3"/>
      <c r="L68" s="3" t="s">
        <v>137</v>
      </c>
      <c r="M68" s="2">
        <v>42815</v>
      </c>
      <c r="N68" s="3" t="s">
        <v>138</v>
      </c>
      <c r="O68" s="3" t="s">
        <v>134</v>
      </c>
      <c r="P68" s="13">
        <v>2398200</v>
      </c>
      <c r="Q68" s="3">
        <f t="shared" si="1"/>
        <v>0</v>
      </c>
    </row>
    <row r="69" spans="1:17" x14ac:dyDescent="0.3">
      <c r="A69" s="2">
        <v>42815</v>
      </c>
      <c r="B69" s="3" t="s">
        <v>5</v>
      </c>
      <c r="C69" s="3"/>
      <c r="D69" s="3" t="s">
        <v>6</v>
      </c>
      <c r="E69" s="3" t="s">
        <v>7</v>
      </c>
      <c r="F69" s="3"/>
      <c r="G69" s="3" t="s">
        <v>128</v>
      </c>
      <c r="H69" s="3" t="s">
        <v>129</v>
      </c>
      <c r="I69" s="3" t="s">
        <v>188</v>
      </c>
      <c r="J69" s="3">
        <v>28216</v>
      </c>
      <c r="K69" s="3"/>
      <c r="L69" s="3" t="s">
        <v>137</v>
      </c>
      <c r="M69" s="2">
        <v>42815</v>
      </c>
      <c r="N69" s="3" t="s">
        <v>133</v>
      </c>
      <c r="O69" s="3" t="s">
        <v>134</v>
      </c>
      <c r="P69" s="13">
        <v>2398377</v>
      </c>
      <c r="Q69" s="3">
        <f t="shared" si="1"/>
        <v>0</v>
      </c>
    </row>
    <row r="70" spans="1:17" x14ac:dyDescent="0.3">
      <c r="A70" s="2">
        <v>42817</v>
      </c>
      <c r="B70" s="3" t="s">
        <v>5</v>
      </c>
      <c r="C70" s="3"/>
      <c r="D70" s="3" t="s">
        <v>6</v>
      </c>
      <c r="E70" s="3" t="s">
        <v>7</v>
      </c>
      <c r="F70" s="3"/>
      <c r="G70" s="3"/>
      <c r="H70" s="3" t="s">
        <v>339</v>
      </c>
      <c r="I70" s="3" t="s">
        <v>222</v>
      </c>
      <c r="J70" s="3" t="s">
        <v>340</v>
      </c>
      <c r="K70" s="3"/>
      <c r="L70" s="3" t="s">
        <v>137</v>
      </c>
      <c r="M70" s="2">
        <v>42817</v>
      </c>
      <c r="N70" s="3" t="s">
        <v>138</v>
      </c>
      <c r="O70" s="3" t="s">
        <v>160</v>
      </c>
      <c r="P70" s="13">
        <v>2399826</v>
      </c>
      <c r="Q70" s="3">
        <f t="shared" si="1"/>
        <v>0</v>
      </c>
    </row>
    <row r="71" spans="1:17" x14ac:dyDescent="0.3">
      <c r="A71" s="2">
        <v>42816</v>
      </c>
      <c r="B71" s="3" t="s">
        <v>5</v>
      </c>
      <c r="C71" s="3"/>
      <c r="D71" s="3" t="s">
        <v>79</v>
      </c>
      <c r="E71" s="3" t="s">
        <v>80</v>
      </c>
      <c r="F71" s="3"/>
      <c r="G71" s="3" t="s">
        <v>128</v>
      </c>
      <c r="H71" s="3" t="s">
        <v>129</v>
      </c>
      <c r="I71" s="3" t="s">
        <v>171</v>
      </c>
      <c r="J71" s="3">
        <v>30309</v>
      </c>
      <c r="K71" s="3"/>
      <c r="L71" s="3" t="s">
        <v>140</v>
      </c>
      <c r="M71" s="2">
        <v>42816</v>
      </c>
      <c r="N71" s="3" t="s">
        <v>138</v>
      </c>
      <c r="O71" s="3" t="s">
        <v>134</v>
      </c>
      <c r="P71" s="13">
        <v>2399982</v>
      </c>
      <c r="Q71" s="3">
        <f t="shared" si="1"/>
        <v>0</v>
      </c>
    </row>
    <row r="72" spans="1:17" x14ac:dyDescent="0.3">
      <c r="A72" s="2">
        <v>42817</v>
      </c>
      <c r="B72" s="3" t="s">
        <v>39</v>
      </c>
      <c r="C72" s="3" t="s">
        <v>106</v>
      </c>
      <c r="D72" s="3" t="s">
        <v>107</v>
      </c>
      <c r="E72" s="3"/>
      <c r="F72" s="3" t="s">
        <v>317</v>
      </c>
      <c r="G72" s="3" t="s">
        <v>128</v>
      </c>
      <c r="H72" s="3" t="s">
        <v>152</v>
      </c>
      <c r="I72" s="3" t="s">
        <v>177</v>
      </c>
      <c r="J72" s="3" t="s">
        <v>318</v>
      </c>
      <c r="K72" s="3" t="s">
        <v>186</v>
      </c>
      <c r="L72" s="3" t="s">
        <v>137</v>
      </c>
      <c r="M72" s="2">
        <v>42817</v>
      </c>
      <c r="N72" s="3" t="s">
        <v>138</v>
      </c>
      <c r="O72" s="3" t="s">
        <v>134</v>
      </c>
      <c r="P72" s="13">
        <v>2401871</v>
      </c>
      <c r="Q72" s="3">
        <f t="shared" si="1"/>
        <v>0</v>
      </c>
    </row>
    <row r="73" spans="1:17" x14ac:dyDescent="0.3">
      <c r="A73" s="2">
        <v>42821</v>
      </c>
      <c r="B73" s="3" t="s">
        <v>14</v>
      </c>
      <c r="C73" s="3" t="s">
        <v>23</v>
      </c>
      <c r="D73" s="3" t="s">
        <v>19</v>
      </c>
      <c r="E73" s="3"/>
      <c r="F73" s="3"/>
      <c r="G73" s="3"/>
      <c r="H73" s="3" t="s">
        <v>204</v>
      </c>
      <c r="I73" s="3" t="s">
        <v>130</v>
      </c>
      <c r="J73" s="3">
        <v>78705</v>
      </c>
      <c r="K73" s="3" t="s">
        <v>131</v>
      </c>
      <c r="L73" s="3" t="s">
        <v>137</v>
      </c>
      <c r="M73" s="2">
        <v>42821</v>
      </c>
      <c r="N73" s="3" t="s">
        <v>138</v>
      </c>
      <c r="O73" s="3" t="s">
        <v>134</v>
      </c>
      <c r="P73" s="13">
        <v>2404727</v>
      </c>
      <c r="Q73" s="3">
        <f t="shared" si="1"/>
        <v>0</v>
      </c>
    </row>
    <row r="74" spans="1:17" x14ac:dyDescent="0.3">
      <c r="A74" s="2">
        <v>42822</v>
      </c>
      <c r="B74" s="3" t="s">
        <v>12</v>
      </c>
      <c r="C74" s="3"/>
      <c r="D74" s="3" t="s">
        <v>95</v>
      </c>
      <c r="E74" s="3"/>
      <c r="F74" s="3"/>
      <c r="G74" s="3"/>
      <c r="H74" s="3" t="s">
        <v>193</v>
      </c>
      <c r="I74" s="3" t="s">
        <v>291</v>
      </c>
      <c r="J74" s="3" t="s">
        <v>282</v>
      </c>
      <c r="K74" s="3"/>
      <c r="L74" s="3" t="s">
        <v>137</v>
      </c>
      <c r="M74" s="2">
        <v>42822</v>
      </c>
      <c r="N74" s="3" t="s">
        <v>138</v>
      </c>
      <c r="O74" s="3" t="s">
        <v>134</v>
      </c>
      <c r="P74" s="13">
        <v>2406906</v>
      </c>
      <c r="Q74" s="3">
        <f t="shared" si="1"/>
        <v>0</v>
      </c>
    </row>
    <row r="75" spans="1:17" x14ac:dyDescent="0.3">
      <c r="A75" s="2">
        <v>42824</v>
      </c>
      <c r="B75" s="3" t="s">
        <v>14</v>
      </c>
      <c r="C75" s="3" t="s">
        <v>23</v>
      </c>
      <c r="D75" s="3" t="s">
        <v>19</v>
      </c>
      <c r="E75" s="3"/>
      <c r="F75" s="3"/>
      <c r="G75" s="3"/>
      <c r="H75" s="3" t="s">
        <v>319</v>
      </c>
      <c r="I75" s="3" t="s">
        <v>222</v>
      </c>
      <c r="J75" s="3" t="s">
        <v>286</v>
      </c>
      <c r="K75" s="3" t="s">
        <v>131</v>
      </c>
      <c r="L75" s="3" t="s">
        <v>137</v>
      </c>
      <c r="M75" s="2">
        <v>42824</v>
      </c>
      <c r="N75" s="3" t="s">
        <v>138</v>
      </c>
      <c r="O75" s="3" t="s">
        <v>134</v>
      </c>
      <c r="P75" s="13">
        <v>2410895</v>
      </c>
      <c r="Q75" s="3">
        <f t="shared" si="1"/>
        <v>0</v>
      </c>
    </row>
    <row r="76" spans="1:17" x14ac:dyDescent="0.3">
      <c r="A76" s="2">
        <v>42824</v>
      </c>
      <c r="B76" s="3" t="s">
        <v>5</v>
      </c>
      <c r="C76" s="3"/>
      <c r="D76" s="3" t="s">
        <v>6</v>
      </c>
      <c r="E76" s="3" t="s">
        <v>7</v>
      </c>
      <c r="F76" s="3"/>
      <c r="G76" s="3"/>
      <c r="H76" s="3" t="s">
        <v>152</v>
      </c>
      <c r="I76" s="3" t="s">
        <v>180</v>
      </c>
      <c r="J76" s="3" t="s">
        <v>292</v>
      </c>
      <c r="K76" s="3" t="s">
        <v>186</v>
      </c>
      <c r="L76" s="3" t="s">
        <v>137</v>
      </c>
      <c r="M76" s="2">
        <v>42851</v>
      </c>
      <c r="N76" s="3" t="s">
        <v>149</v>
      </c>
      <c r="O76" s="3" t="s">
        <v>134</v>
      </c>
      <c r="P76" s="13">
        <v>2410915</v>
      </c>
      <c r="Q76" s="3">
        <f t="shared" si="1"/>
        <v>27</v>
      </c>
    </row>
    <row r="77" spans="1:17" x14ac:dyDescent="0.3">
      <c r="A77" s="2">
        <v>42825</v>
      </c>
      <c r="B77" s="3" t="s">
        <v>14</v>
      </c>
      <c r="C77" s="3" t="s">
        <v>32</v>
      </c>
      <c r="D77" s="3" t="s">
        <v>16</v>
      </c>
      <c r="E77" s="3"/>
      <c r="F77" s="3"/>
      <c r="G77" s="3" t="s">
        <v>128</v>
      </c>
      <c r="H77" s="3" t="s">
        <v>173</v>
      </c>
      <c r="I77" s="3" t="s">
        <v>143</v>
      </c>
      <c r="J77" s="3">
        <v>92026</v>
      </c>
      <c r="K77" s="3"/>
      <c r="L77" s="3" t="s">
        <v>137</v>
      </c>
      <c r="M77" s="2">
        <v>42825</v>
      </c>
      <c r="N77" s="3" t="s">
        <v>138</v>
      </c>
      <c r="O77" s="3" t="s">
        <v>134</v>
      </c>
      <c r="P77" s="13">
        <v>2411860</v>
      </c>
      <c r="Q77" s="3">
        <f t="shared" si="1"/>
        <v>0</v>
      </c>
    </row>
    <row r="78" spans="1:17" ht="43.2" x14ac:dyDescent="0.3">
      <c r="A78" s="2">
        <v>42825</v>
      </c>
      <c r="B78" s="3" t="s">
        <v>14</v>
      </c>
      <c r="C78" s="3" t="s">
        <v>69</v>
      </c>
      <c r="D78" s="3" t="s">
        <v>19</v>
      </c>
      <c r="E78" s="3"/>
      <c r="F78" s="6" t="s">
        <v>280</v>
      </c>
      <c r="G78" s="3" t="s">
        <v>128</v>
      </c>
      <c r="H78" s="3" t="s">
        <v>174</v>
      </c>
      <c r="I78" s="3" t="s">
        <v>281</v>
      </c>
      <c r="J78" s="3" t="s">
        <v>282</v>
      </c>
      <c r="K78" s="3"/>
      <c r="L78" s="3" t="s">
        <v>137</v>
      </c>
      <c r="M78" s="2">
        <v>42828</v>
      </c>
      <c r="N78" s="3" t="s">
        <v>138</v>
      </c>
      <c r="O78" s="3" t="s">
        <v>134</v>
      </c>
      <c r="P78" s="13">
        <v>2412732</v>
      </c>
      <c r="Q78" s="3">
        <f t="shared" si="1"/>
        <v>3</v>
      </c>
    </row>
    <row r="79" spans="1:17" x14ac:dyDescent="0.3">
      <c r="A79" s="2">
        <v>42825</v>
      </c>
      <c r="B79" s="3" t="s">
        <v>73</v>
      </c>
      <c r="C79" s="3" t="s">
        <v>114</v>
      </c>
      <c r="D79" s="3" t="s">
        <v>115</v>
      </c>
      <c r="E79" s="3"/>
      <c r="F79" s="3" t="s">
        <v>350</v>
      </c>
      <c r="G79" s="3" t="s">
        <v>128</v>
      </c>
      <c r="H79" s="3" t="s">
        <v>174</v>
      </c>
      <c r="I79" s="3" t="s">
        <v>148</v>
      </c>
      <c r="J79" s="3" t="s">
        <v>351</v>
      </c>
      <c r="K79" s="3"/>
      <c r="L79" s="3" t="s">
        <v>137</v>
      </c>
      <c r="M79" s="2">
        <v>42828</v>
      </c>
      <c r="N79" s="3" t="s">
        <v>138</v>
      </c>
      <c r="O79" s="3" t="s">
        <v>134</v>
      </c>
      <c r="P79" s="13">
        <v>2412744</v>
      </c>
      <c r="Q79" s="3">
        <f t="shared" si="1"/>
        <v>3</v>
      </c>
    </row>
    <row r="80" spans="1:17" x14ac:dyDescent="0.3">
      <c r="A80" s="2">
        <v>42825</v>
      </c>
      <c r="B80" s="3" t="s">
        <v>8</v>
      </c>
      <c r="C80" s="3" t="s">
        <v>86</v>
      </c>
      <c r="D80" s="3" t="s">
        <v>10</v>
      </c>
      <c r="E80" s="3" t="s">
        <v>55</v>
      </c>
      <c r="F80" s="3"/>
      <c r="G80" s="3" t="s">
        <v>141</v>
      </c>
      <c r="H80" s="3" t="s">
        <v>277</v>
      </c>
      <c r="I80" s="3" t="s">
        <v>275</v>
      </c>
      <c r="J80" s="3">
        <v>47807</v>
      </c>
      <c r="K80" s="3"/>
      <c r="L80" s="3" t="s">
        <v>137</v>
      </c>
      <c r="M80" s="2">
        <v>42858</v>
      </c>
      <c r="N80" s="3" t="s">
        <v>138</v>
      </c>
      <c r="O80" s="3" t="s">
        <v>134</v>
      </c>
      <c r="P80" s="13">
        <v>2414034</v>
      </c>
      <c r="Q80" s="3">
        <f t="shared" si="1"/>
        <v>33</v>
      </c>
    </row>
    <row r="81" spans="1:17" x14ac:dyDescent="0.3">
      <c r="A81" s="2">
        <v>42826</v>
      </c>
      <c r="B81" s="3" t="s">
        <v>5</v>
      </c>
      <c r="C81" s="3"/>
      <c r="D81" s="3" t="s">
        <v>111</v>
      </c>
      <c r="E81" s="3" t="s">
        <v>112</v>
      </c>
      <c r="F81" s="3"/>
      <c r="G81" s="3"/>
      <c r="H81" s="3" t="s">
        <v>237</v>
      </c>
      <c r="I81" s="3" t="s">
        <v>291</v>
      </c>
      <c r="J81" s="3">
        <v>55406</v>
      </c>
      <c r="K81" s="3" t="s">
        <v>186</v>
      </c>
      <c r="L81" s="3" t="s">
        <v>137</v>
      </c>
      <c r="M81" s="2">
        <v>42826</v>
      </c>
      <c r="N81" s="3" t="s">
        <v>138</v>
      </c>
      <c r="O81" s="3" t="s">
        <v>134</v>
      </c>
      <c r="P81" s="13">
        <v>2414640</v>
      </c>
      <c r="Q81" s="3">
        <f t="shared" si="1"/>
        <v>0</v>
      </c>
    </row>
    <row r="82" spans="1:17" x14ac:dyDescent="0.3">
      <c r="A82" s="2">
        <v>42826</v>
      </c>
      <c r="B82" s="3" t="s">
        <v>12</v>
      </c>
      <c r="C82" s="3"/>
      <c r="D82" s="3" t="s">
        <v>52</v>
      </c>
      <c r="E82" s="3"/>
      <c r="F82" s="3"/>
      <c r="G82" s="3"/>
      <c r="H82" s="3" t="s">
        <v>193</v>
      </c>
      <c r="I82" s="3" t="s">
        <v>194</v>
      </c>
      <c r="J82" s="3" t="s">
        <v>195</v>
      </c>
      <c r="K82" s="3" t="s">
        <v>186</v>
      </c>
      <c r="L82" s="3" t="s">
        <v>137</v>
      </c>
      <c r="M82" s="2">
        <v>42826</v>
      </c>
      <c r="N82" s="3" t="s">
        <v>138</v>
      </c>
      <c r="O82" s="3" t="s">
        <v>134</v>
      </c>
      <c r="P82" s="13">
        <v>2414717</v>
      </c>
      <c r="Q82" s="3">
        <f t="shared" si="1"/>
        <v>0</v>
      </c>
    </row>
    <row r="83" spans="1:17" x14ac:dyDescent="0.3">
      <c r="A83" s="2">
        <v>42829</v>
      </c>
      <c r="B83" s="3" t="s">
        <v>5</v>
      </c>
      <c r="C83" s="3"/>
      <c r="D83" s="3" t="s">
        <v>6</v>
      </c>
      <c r="E83" s="3" t="s">
        <v>7</v>
      </c>
      <c r="F83" s="3"/>
      <c r="G83" s="3"/>
      <c r="H83" s="3" t="s">
        <v>183</v>
      </c>
      <c r="I83" s="3" t="s">
        <v>275</v>
      </c>
      <c r="J83" s="3">
        <v>46226</v>
      </c>
      <c r="K83" s="3"/>
      <c r="L83" s="3" t="s">
        <v>132</v>
      </c>
      <c r="M83" s="2">
        <v>42829</v>
      </c>
      <c r="N83" s="3" t="s">
        <v>133</v>
      </c>
      <c r="O83" s="3" t="s">
        <v>134</v>
      </c>
      <c r="P83" s="13">
        <v>2416121</v>
      </c>
      <c r="Q83" s="3">
        <f t="shared" si="1"/>
        <v>0</v>
      </c>
    </row>
    <row r="84" spans="1:17" x14ac:dyDescent="0.3">
      <c r="A84" s="2">
        <v>42828</v>
      </c>
      <c r="B84" s="3" t="s">
        <v>5</v>
      </c>
      <c r="C84" s="3"/>
      <c r="D84" s="3" t="s">
        <v>6</v>
      </c>
      <c r="E84" s="3" t="s">
        <v>7</v>
      </c>
      <c r="F84" s="3"/>
      <c r="G84" s="3"/>
      <c r="H84" s="3" t="s">
        <v>183</v>
      </c>
      <c r="I84" s="3" t="s">
        <v>304</v>
      </c>
      <c r="J84" s="3" t="s">
        <v>305</v>
      </c>
      <c r="K84" s="3"/>
      <c r="L84" s="3" t="s">
        <v>137</v>
      </c>
      <c r="M84" s="2">
        <v>42828</v>
      </c>
      <c r="N84" s="3" t="s">
        <v>138</v>
      </c>
      <c r="O84" s="3" t="s">
        <v>134</v>
      </c>
      <c r="P84" s="13">
        <v>2416355</v>
      </c>
      <c r="Q84" s="3">
        <f t="shared" si="1"/>
        <v>0</v>
      </c>
    </row>
    <row r="85" spans="1:17" x14ac:dyDescent="0.3">
      <c r="A85" s="2">
        <v>42828</v>
      </c>
      <c r="B85" s="3" t="s">
        <v>20</v>
      </c>
      <c r="C85" s="3" t="s">
        <v>21</v>
      </c>
      <c r="D85" s="3" t="s">
        <v>64</v>
      </c>
      <c r="E85" s="3"/>
      <c r="F85" s="3"/>
      <c r="G85" s="3" t="s">
        <v>128</v>
      </c>
      <c r="H85" s="3" t="s">
        <v>174</v>
      </c>
      <c r="I85" s="3" t="s">
        <v>175</v>
      </c>
      <c r="J85" s="3">
        <v>98052</v>
      </c>
      <c r="K85" s="3"/>
      <c r="L85" s="3" t="s">
        <v>140</v>
      </c>
      <c r="M85" s="2">
        <v>42829</v>
      </c>
      <c r="N85" s="3" t="s">
        <v>138</v>
      </c>
      <c r="O85" s="3" t="s">
        <v>134</v>
      </c>
      <c r="P85" s="13">
        <v>2416625</v>
      </c>
      <c r="Q85" s="3">
        <f t="shared" si="1"/>
        <v>1</v>
      </c>
    </row>
    <row r="86" spans="1:17" x14ac:dyDescent="0.3">
      <c r="A86" s="2">
        <v>42828</v>
      </c>
      <c r="B86" s="3" t="s">
        <v>5</v>
      </c>
      <c r="C86" s="3"/>
      <c r="D86" s="3" t="s">
        <v>6</v>
      </c>
      <c r="E86" s="3" t="s">
        <v>81</v>
      </c>
      <c r="F86" s="3"/>
      <c r="G86" s="3"/>
      <c r="H86" s="3" t="s">
        <v>183</v>
      </c>
      <c r="I86" s="3" t="s">
        <v>192</v>
      </c>
      <c r="J86" s="3">
        <v>20032</v>
      </c>
      <c r="K86" s="3"/>
      <c r="L86" s="3" t="s">
        <v>137</v>
      </c>
      <c r="M86" s="2">
        <v>42828</v>
      </c>
      <c r="N86" s="3" t="s">
        <v>138</v>
      </c>
      <c r="O86" s="3" t="s">
        <v>134</v>
      </c>
      <c r="P86" s="13">
        <v>2417137</v>
      </c>
      <c r="Q86" s="3">
        <f t="shared" si="1"/>
        <v>0</v>
      </c>
    </row>
    <row r="87" spans="1:17" x14ac:dyDescent="0.3">
      <c r="A87" s="2">
        <v>42829</v>
      </c>
      <c r="B87" s="3" t="s">
        <v>20</v>
      </c>
      <c r="C87" s="3" t="s">
        <v>33</v>
      </c>
      <c r="D87" s="3" t="s">
        <v>64</v>
      </c>
      <c r="E87" s="3"/>
      <c r="F87" s="3"/>
      <c r="G87" s="3" t="s">
        <v>128</v>
      </c>
      <c r="H87" s="3" t="s">
        <v>268</v>
      </c>
      <c r="I87" s="3" t="s">
        <v>171</v>
      </c>
      <c r="J87" s="3">
        <v>30047</v>
      </c>
      <c r="K87" s="3"/>
      <c r="L87" s="3" t="s">
        <v>137</v>
      </c>
      <c r="M87" s="2">
        <v>42829</v>
      </c>
      <c r="N87" s="3" t="s">
        <v>138</v>
      </c>
      <c r="O87" s="3" t="s">
        <v>134</v>
      </c>
      <c r="P87" s="13">
        <v>2417442</v>
      </c>
      <c r="Q87" s="3">
        <f t="shared" si="1"/>
        <v>0</v>
      </c>
    </row>
    <row r="88" spans="1:17" x14ac:dyDescent="0.3">
      <c r="A88" s="2">
        <v>42829</v>
      </c>
      <c r="B88" s="3" t="s">
        <v>12</v>
      </c>
      <c r="C88" s="3"/>
      <c r="D88" s="3" t="s">
        <v>51</v>
      </c>
      <c r="E88" s="3"/>
      <c r="F88" s="3"/>
      <c r="G88" s="3"/>
      <c r="H88" s="3" t="s">
        <v>235</v>
      </c>
      <c r="I88" s="3" t="s">
        <v>153</v>
      </c>
      <c r="J88" s="3">
        <v>8902</v>
      </c>
      <c r="K88" s="3"/>
      <c r="L88" s="3" t="s">
        <v>140</v>
      </c>
      <c r="M88" s="2">
        <v>42830</v>
      </c>
      <c r="N88" s="3" t="s">
        <v>138</v>
      </c>
      <c r="O88" s="3" t="s">
        <v>134</v>
      </c>
      <c r="P88" s="13">
        <v>2418794</v>
      </c>
      <c r="Q88" s="3">
        <f t="shared" si="1"/>
        <v>1</v>
      </c>
    </row>
    <row r="89" spans="1:17" x14ac:dyDescent="0.3">
      <c r="A89" s="2">
        <v>42829</v>
      </c>
      <c r="B89" s="3" t="s">
        <v>20</v>
      </c>
      <c r="C89" s="3" t="s">
        <v>35</v>
      </c>
      <c r="D89" s="3" t="s">
        <v>34</v>
      </c>
      <c r="E89" s="3"/>
      <c r="F89" s="3"/>
      <c r="G89" s="3" t="s">
        <v>128</v>
      </c>
      <c r="H89" s="3" t="s">
        <v>174</v>
      </c>
      <c r="I89" s="3" t="s">
        <v>175</v>
      </c>
      <c r="J89" s="3">
        <v>98023</v>
      </c>
      <c r="K89" s="3"/>
      <c r="L89" s="3" t="s">
        <v>132</v>
      </c>
      <c r="M89" s="2">
        <v>42829</v>
      </c>
      <c r="N89" s="3" t="s">
        <v>138</v>
      </c>
      <c r="O89" s="3" t="s">
        <v>134</v>
      </c>
      <c r="P89" s="13">
        <v>2419089</v>
      </c>
      <c r="Q89" s="3">
        <f t="shared" si="1"/>
        <v>0</v>
      </c>
    </row>
    <row r="90" spans="1:17" ht="72" x14ac:dyDescent="0.3">
      <c r="A90" s="2">
        <v>42829</v>
      </c>
      <c r="B90" s="3" t="s">
        <v>20</v>
      </c>
      <c r="C90" s="3" t="s">
        <v>21</v>
      </c>
      <c r="D90" s="3" t="s">
        <v>22</v>
      </c>
      <c r="E90" s="3"/>
      <c r="F90" s="6" t="s">
        <v>312</v>
      </c>
      <c r="G90" s="3" t="s">
        <v>128</v>
      </c>
      <c r="H90" s="3" t="s">
        <v>174</v>
      </c>
      <c r="I90" s="3" t="s">
        <v>271</v>
      </c>
      <c r="J90" s="3" t="s">
        <v>313</v>
      </c>
      <c r="K90" s="3"/>
      <c r="L90" s="3" t="s">
        <v>137</v>
      </c>
      <c r="M90" s="2">
        <v>42829</v>
      </c>
      <c r="N90" s="3" t="s">
        <v>138</v>
      </c>
      <c r="O90" s="3" t="s">
        <v>134</v>
      </c>
      <c r="P90" s="13">
        <v>2419713</v>
      </c>
      <c r="Q90" s="3">
        <f t="shared" si="1"/>
        <v>0</v>
      </c>
    </row>
    <row r="91" spans="1:17" x14ac:dyDescent="0.3">
      <c r="A91" s="2">
        <v>42830</v>
      </c>
      <c r="B91" s="3" t="s">
        <v>20</v>
      </c>
      <c r="C91" s="3" t="s">
        <v>93</v>
      </c>
      <c r="D91" s="3" t="s">
        <v>34</v>
      </c>
      <c r="E91" s="3"/>
      <c r="F91" s="3" t="s">
        <v>314</v>
      </c>
      <c r="G91" s="3" t="s">
        <v>128</v>
      </c>
      <c r="H91" s="3" t="s">
        <v>268</v>
      </c>
      <c r="I91" s="3" t="s">
        <v>136</v>
      </c>
      <c r="J91" s="3" t="s">
        <v>315</v>
      </c>
      <c r="K91" s="3"/>
      <c r="L91" s="3" t="s">
        <v>137</v>
      </c>
      <c r="M91" s="2">
        <v>42830</v>
      </c>
      <c r="N91" s="3" t="s">
        <v>138</v>
      </c>
      <c r="O91" s="3" t="s">
        <v>134</v>
      </c>
      <c r="P91" s="13">
        <v>2420825</v>
      </c>
      <c r="Q91" s="3">
        <f t="shared" si="1"/>
        <v>0</v>
      </c>
    </row>
    <row r="92" spans="1:17" x14ac:dyDescent="0.3">
      <c r="A92" s="2">
        <v>42831</v>
      </c>
      <c r="B92" s="3" t="s">
        <v>12</v>
      </c>
      <c r="C92" s="3"/>
      <c r="D92" s="3" t="s">
        <v>51</v>
      </c>
      <c r="E92" s="3"/>
      <c r="F92" s="3"/>
      <c r="G92" s="3"/>
      <c r="H92" s="3" t="s">
        <v>191</v>
      </c>
      <c r="I92" s="3" t="s">
        <v>192</v>
      </c>
      <c r="J92" s="3">
        <v>20002</v>
      </c>
      <c r="K92" s="3"/>
      <c r="L92" s="3" t="s">
        <v>137</v>
      </c>
      <c r="M92" s="2">
        <v>42831</v>
      </c>
      <c r="N92" s="3" t="s">
        <v>138</v>
      </c>
      <c r="O92" s="3" t="s">
        <v>134</v>
      </c>
      <c r="P92" s="13">
        <v>2421040</v>
      </c>
      <c r="Q92" s="3">
        <f t="shared" si="1"/>
        <v>0</v>
      </c>
    </row>
    <row r="93" spans="1:17" x14ac:dyDescent="0.3">
      <c r="A93" s="2">
        <v>42830</v>
      </c>
      <c r="B93" s="3" t="s">
        <v>14</v>
      </c>
      <c r="C93" s="3" t="s">
        <v>69</v>
      </c>
      <c r="D93" s="3" t="s">
        <v>71</v>
      </c>
      <c r="E93" s="3"/>
      <c r="F93" s="3"/>
      <c r="G93" s="3" t="s">
        <v>128</v>
      </c>
      <c r="H93" s="3" t="s">
        <v>174</v>
      </c>
      <c r="I93" s="3" t="s">
        <v>164</v>
      </c>
      <c r="J93" s="3">
        <v>20746</v>
      </c>
      <c r="K93" s="3"/>
      <c r="L93" s="3" t="s">
        <v>140</v>
      </c>
      <c r="M93" s="2">
        <v>42831</v>
      </c>
      <c r="N93" s="3" t="s">
        <v>133</v>
      </c>
      <c r="O93" s="3" t="s">
        <v>134</v>
      </c>
      <c r="P93" s="13">
        <v>2421775</v>
      </c>
      <c r="Q93" s="3">
        <f t="shared" si="1"/>
        <v>1</v>
      </c>
    </row>
    <row r="94" spans="1:17" x14ac:dyDescent="0.3">
      <c r="A94" s="2">
        <v>42831</v>
      </c>
      <c r="B94" s="3" t="s">
        <v>8</v>
      </c>
      <c r="C94" s="3" t="s">
        <v>12</v>
      </c>
      <c r="D94" s="3" t="s">
        <v>10</v>
      </c>
      <c r="E94" s="3" t="s">
        <v>18</v>
      </c>
      <c r="F94" s="3"/>
      <c r="G94" s="3" t="s">
        <v>128</v>
      </c>
      <c r="H94" s="3" t="s">
        <v>139</v>
      </c>
      <c r="I94" s="3" t="s">
        <v>148</v>
      </c>
      <c r="J94" s="3">
        <v>11226</v>
      </c>
      <c r="K94" s="3"/>
      <c r="L94" s="3" t="s">
        <v>137</v>
      </c>
      <c r="M94" s="2">
        <v>42831</v>
      </c>
      <c r="N94" s="3" t="s">
        <v>138</v>
      </c>
      <c r="O94" s="3" t="s">
        <v>134</v>
      </c>
      <c r="P94" s="13">
        <v>2422048</v>
      </c>
      <c r="Q94" s="3">
        <f t="shared" si="1"/>
        <v>0</v>
      </c>
    </row>
    <row r="95" spans="1:17" x14ac:dyDescent="0.3">
      <c r="A95" s="2">
        <v>42831</v>
      </c>
      <c r="B95" s="3" t="s">
        <v>12</v>
      </c>
      <c r="C95" s="3"/>
      <c r="D95" s="3" t="s">
        <v>45</v>
      </c>
      <c r="E95" s="3"/>
      <c r="F95" s="3"/>
      <c r="G95" s="3" t="s">
        <v>128</v>
      </c>
      <c r="H95" s="3" t="s">
        <v>184</v>
      </c>
      <c r="I95" s="3" t="s">
        <v>185</v>
      </c>
      <c r="J95" s="3">
        <v>22315</v>
      </c>
      <c r="K95" s="3" t="s">
        <v>186</v>
      </c>
      <c r="L95" s="3" t="s">
        <v>137</v>
      </c>
      <c r="M95" s="2">
        <v>42831</v>
      </c>
      <c r="N95" s="3" t="s">
        <v>138</v>
      </c>
      <c r="O95" s="3" t="s">
        <v>134</v>
      </c>
      <c r="P95" s="13">
        <v>2423410</v>
      </c>
      <c r="Q95" s="3">
        <f t="shared" si="1"/>
        <v>0</v>
      </c>
    </row>
    <row r="96" spans="1:17" x14ac:dyDescent="0.3">
      <c r="A96" s="2">
        <v>42831</v>
      </c>
      <c r="B96" s="3" t="s">
        <v>46</v>
      </c>
      <c r="C96" s="3" t="s">
        <v>103</v>
      </c>
      <c r="D96" s="3" t="s">
        <v>31</v>
      </c>
      <c r="E96" s="3"/>
      <c r="F96" s="3"/>
      <c r="G96" s="3"/>
      <c r="H96" s="3" t="s">
        <v>309</v>
      </c>
      <c r="I96" s="3" t="s">
        <v>180</v>
      </c>
      <c r="J96" s="3" t="s">
        <v>292</v>
      </c>
      <c r="K96" s="3"/>
      <c r="L96" s="3" t="s">
        <v>137</v>
      </c>
      <c r="M96" s="2">
        <v>42832</v>
      </c>
      <c r="N96" s="3" t="s">
        <v>138</v>
      </c>
      <c r="O96" s="3" t="s">
        <v>134</v>
      </c>
      <c r="P96" s="13">
        <v>2423435</v>
      </c>
      <c r="Q96" s="3">
        <f t="shared" si="1"/>
        <v>1</v>
      </c>
    </row>
    <row r="97" spans="1:17" x14ac:dyDescent="0.3">
      <c r="A97" s="2">
        <v>42832</v>
      </c>
      <c r="B97" s="3" t="s">
        <v>12</v>
      </c>
      <c r="C97" s="3"/>
      <c r="D97" s="3" t="s">
        <v>90</v>
      </c>
      <c r="E97" s="3"/>
      <c r="F97" s="3"/>
      <c r="G97" s="3" t="s">
        <v>128</v>
      </c>
      <c r="H97" s="3" t="s">
        <v>184</v>
      </c>
      <c r="I97" s="3" t="s">
        <v>130</v>
      </c>
      <c r="J97" s="3">
        <v>79607</v>
      </c>
      <c r="K97" s="3" t="s">
        <v>186</v>
      </c>
      <c r="L97" s="3" t="s">
        <v>137</v>
      </c>
      <c r="M97" s="2">
        <v>42832</v>
      </c>
      <c r="N97" s="3" t="s">
        <v>138</v>
      </c>
      <c r="O97" s="3" t="s">
        <v>134</v>
      </c>
      <c r="P97" s="13">
        <v>2423941</v>
      </c>
      <c r="Q97" s="3">
        <f t="shared" si="1"/>
        <v>0</v>
      </c>
    </row>
    <row r="98" spans="1:17" x14ac:dyDescent="0.3">
      <c r="A98" s="2">
        <v>42832</v>
      </c>
      <c r="B98" s="3" t="s">
        <v>14</v>
      </c>
      <c r="C98" s="3" t="s">
        <v>15</v>
      </c>
      <c r="D98" s="3" t="s">
        <v>13</v>
      </c>
      <c r="E98" s="3"/>
      <c r="F98" s="3"/>
      <c r="G98" s="3"/>
      <c r="H98" s="3" t="s">
        <v>205</v>
      </c>
      <c r="I98" s="3" t="s">
        <v>175</v>
      </c>
      <c r="J98" s="3">
        <v>98223</v>
      </c>
      <c r="K98" s="3"/>
      <c r="L98" s="3" t="s">
        <v>146</v>
      </c>
      <c r="M98" s="2">
        <v>42832</v>
      </c>
      <c r="N98" s="3" t="s">
        <v>138</v>
      </c>
      <c r="O98" s="3" t="s">
        <v>134</v>
      </c>
      <c r="P98" s="13">
        <v>2424942</v>
      </c>
      <c r="Q98" s="3">
        <f t="shared" si="1"/>
        <v>0</v>
      </c>
    </row>
    <row r="99" spans="1:17" x14ac:dyDescent="0.3">
      <c r="A99" s="2">
        <v>42832</v>
      </c>
      <c r="B99" s="3" t="s">
        <v>14</v>
      </c>
      <c r="C99" s="3" t="s">
        <v>63</v>
      </c>
      <c r="D99" s="3" t="s">
        <v>16</v>
      </c>
      <c r="E99" s="3"/>
      <c r="F99" s="3"/>
      <c r="G99" s="3"/>
      <c r="H99" s="3" t="s">
        <v>236</v>
      </c>
      <c r="I99" s="3" t="s">
        <v>151</v>
      </c>
      <c r="J99" s="3">
        <v>33441</v>
      </c>
      <c r="K99" s="3"/>
      <c r="L99" s="3" t="s">
        <v>132</v>
      </c>
      <c r="M99" s="2">
        <v>42832</v>
      </c>
      <c r="N99" s="3" t="s">
        <v>138</v>
      </c>
      <c r="O99" s="3" t="s">
        <v>134</v>
      </c>
      <c r="P99" s="13">
        <v>2424946</v>
      </c>
      <c r="Q99" s="3">
        <f t="shared" si="1"/>
        <v>0</v>
      </c>
    </row>
    <row r="100" spans="1:17" x14ac:dyDescent="0.3">
      <c r="A100" s="2">
        <v>42832</v>
      </c>
      <c r="B100" s="3" t="s">
        <v>12</v>
      </c>
      <c r="C100" s="3"/>
      <c r="D100" s="3" t="s">
        <v>66</v>
      </c>
      <c r="E100" s="3"/>
      <c r="F100" s="3"/>
      <c r="G100" s="3" t="s">
        <v>128</v>
      </c>
      <c r="H100" s="3" t="s">
        <v>174</v>
      </c>
      <c r="I100" s="3" t="s">
        <v>222</v>
      </c>
      <c r="J100" s="3">
        <v>85296</v>
      </c>
      <c r="K100" s="3"/>
      <c r="L100" s="3" t="s">
        <v>140</v>
      </c>
      <c r="M100" s="2">
        <v>42832</v>
      </c>
      <c r="N100" s="3" t="s">
        <v>159</v>
      </c>
      <c r="O100" s="3" t="s">
        <v>134</v>
      </c>
      <c r="P100" s="13">
        <v>2425048</v>
      </c>
      <c r="Q100" s="3">
        <f t="shared" si="1"/>
        <v>0</v>
      </c>
    </row>
    <row r="101" spans="1:17" x14ac:dyDescent="0.3">
      <c r="A101" s="2">
        <v>42832</v>
      </c>
      <c r="B101" s="3" t="s">
        <v>39</v>
      </c>
      <c r="C101" s="3" t="s">
        <v>40</v>
      </c>
      <c r="D101" s="3" t="s">
        <v>65</v>
      </c>
      <c r="E101" s="3"/>
      <c r="F101" s="3"/>
      <c r="G101" s="3" t="s">
        <v>128</v>
      </c>
      <c r="H101" s="3" t="s">
        <v>268</v>
      </c>
      <c r="I101" s="3" t="s">
        <v>194</v>
      </c>
      <c r="J101" s="3">
        <v>37650</v>
      </c>
      <c r="K101" s="3"/>
      <c r="L101" s="3" t="s">
        <v>140</v>
      </c>
      <c r="M101" s="2">
        <v>42832</v>
      </c>
      <c r="N101" s="3" t="s">
        <v>138</v>
      </c>
      <c r="O101" s="3" t="s">
        <v>134</v>
      </c>
      <c r="P101" s="13">
        <v>2425260</v>
      </c>
      <c r="Q101" s="3">
        <f t="shared" si="1"/>
        <v>0</v>
      </c>
    </row>
    <row r="102" spans="1:17" x14ac:dyDescent="0.3">
      <c r="A102" s="2">
        <v>42832</v>
      </c>
      <c r="B102" s="3" t="s">
        <v>20</v>
      </c>
      <c r="C102" s="3" t="s">
        <v>21</v>
      </c>
      <c r="D102" s="3" t="s">
        <v>34</v>
      </c>
      <c r="E102" s="3"/>
      <c r="F102" s="3"/>
      <c r="G102" s="3" t="s">
        <v>128</v>
      </c>
      <c r="H102" s="3" t="s">
        <v>174</v>
      </c>
      <c r="I102" s="3" t="s">
        <v>250</v>
      </c>
      <c r="J102" s="3">
        <v>6484</v>
      </c>
      <c r="K102" s="3"/>
      <c r="L102" s="3" t="s">
        <v>140</v>
      </c>
      <c r="M102" s="2">
        <v>42832</v>
      </c>
      <c r="N102" s="3" t="s">
        <v>159</v>
      </c>
      <c r="O102" s="3" t="s">
        <v>134</v>
      </c>
      <c r="P102" s="13">
        <v>2425815</v>
      </c>
      <c r="Q102" s="3">
        <f t="shared" si="1"/>
        <v>0</v>
      </c>
    </row>
    <row r="103" spans="1:17" x14ac:dyDescent="0.3">
      <c r="A103" s="2">
        <v>42833</v>
      </c>
      <c r="B103" s="3" t="s">
        <v>39</v>
      </c>
      <c r="C103" s="3" t="s">
        <v>89</v>
      </c>
      <c r="D103" s="3" t="s">
        <v>82</v>
      </c>
      <c r="E103" s="3"/>
      <c r="F103" s="3" t="s">
        <v>267</v>
      </c>
      <c r="G103" s="3" t="s">
        <v>128</v>
      </c>
      <c r="H103" s="3" t="s">
        <v>268</v>
      </c>
      <c r="I103" s="3" t="s">
        <v>143</v>
      </c>
      <c r="J103" s="3" t="s">
        <v>269</v>
      </c>
      <c r="K103" s="3"/>
      <c r="L103" s="3" t="s">
        <v>137</v>
      </c>
      <c r="M103" s="2">
        <v>42833</v>
      </c>
      <c r="N103" s="3" t="s">
        <v>138</v>
      </c>
      <c r="O103" s="3" t="s">
        <v>134</v>
      </c>
      <c r="P103" s="13">
        <v>2426136</v>
      </c>
      <c r="Q103" s="3">
        <f t="shared" si="1"/>
        <v>0</v>
      </c>
    </row>
    <row r="104" spans="1:17" x14ac:dyDescent="0.3">
      <c r="A104" s="2">
        <v>42834</v>
      </c>
      <c r="B104" s="3" t="s">
        <v>12</v>
      </c>
      <c r="C104" s="3"/>
      <c r="D104" s="3" t="s">
        <v>91</v>
      </c>
      <c r="E104" s="3"/>
      <c r="F104" s="3"/>
      <c r="G104" s="3"/>
      <c r="H104" s="3" t="s">
        <v>235</v>
      </c>
      <c r="I104" s="3" t="s">
        <v>222</v>
      </c>
      <c r="J104" s="3">
        <v>85139</v>
      </c>
      <c r="K104" s="3"/>
      <c r="L104" s="3" t="s">
        <v>137</v>
      </c>
      <c r="M104" s="2">
        <v>42834</v>
      </c>
      <c r="N104" s="3" t="s">
        <v>138</v>
      </c>
      <c r="O104" s="3" t="s">
        <v>134</v>
      </c>
      <c r="P104" s="13">
        <v>2426593</v>
      </c>
      <c r="Q104" s="3">
        <f t="shared" si="1"/>
        <v>0</v>
      </c>
    </row>
    <row r="105" spans="1:17" x14ac:dyDescent="0.3">
      <c r="A105" s="2">
        <v>42835</v>
      </c>
      <c r="B105" s="3" t="s">
        <v>14</v>
      </c>
      <c r="C105" s="3" t="s">
        <v>15</v>
      </c>
      <c r="D105" s="3" t="s">
        <v>16</v>
      </c>
      <c r="E105" s="3"/>
      <c r="F105" s="3"/>
      <c r="G105" s="3"/>
      <c r="H105" s="3" t="s">
        <v>297</v>
      </c>
      <c r="I105" s="3" t="s">
        <v>153</v>
      </c>
      <c r="J105" s="3">
        <v>8832</v>
      </c>
      <c r="K105" s="3" t="s">
        <v>131</v>
      </c>
      <c r="L105" s="3" t="s">
        <v>132</v>
      </c>
      <c r="M105" s="2">
        <v>42835</v>
      </c>
      <c r="N105" s="3" t="s">
        <v>138</v>
      </c>
      <c r="O105" s="3" t="s">
        <v>160</v>
      </c>
      <c r="P105" s="13">
        <v>2428039</v>
      </c>
      <c r="Q105" s="3">
        <f t="shared" si="1"/>
        <v>0</v>
      </c>
    </row>
    <row r="106" spans="1:17" ht="86.4" x14ac:dyDescent="0.3">
      <c r="A106" s="2">
        <v>42837</v>
      </c>
      <c r="B106" s="3" t="s">
        <v>20</v>
      </c>
      <c r="C106" s="3" t="s">
        <v>21</v>
      </c>
      <c r="D106" s="3" t="s">
        <v>60</v>
      </c>
      <c r="E106" s="3"/>
      <c r="F106" s="6" t="s">
        <v>214</v>
      </c>
      <c r="G106" s="3" t="s">
        <v>128</v>
      </c>
      <c r="H106" s="3" t="s">
        <v>144</v>
      </c>
      <c r="I106" s="3" t="s">
        <v>143</v>
      </c>
      <c r="J106" s="3" t="s">
        <v>215</v>
      </c>
      <c r="K106" s="3"/>
      <c r="L106" s="3" t="s">
        <v>137</v>
      </c>
      <c r="M106" s="2">
        <v>42837</v>
      </c>
      <c r="N106" s="3" t="s">
        <v>138</v>
      </c>
      <c r="O106" s="3" t="s">
        <v>134</v>
      </c>
      <c r="P106" s="13">
        <v>2431565</v>
      </c>
      <c r="Q106" s="3">
        <f t="shared" si="1"/>
        <v>0</v>
      </c>
    </row>
    <row r="107" spans="1:17" x14ac:dyDescent="0.3">
      <c r="A107" s="2">
        <v>42837</v>
      </c>
      <c r="B107" s="3" t="s">
        <v>20</v>
      </c>
      <c r="C107" s="3" t="s">
        <v>35</v>
      </c>
      <c r="D107" s="3" t="s">
        <v>64</v>
      </c>
      <c r="E107" s="3"/>
      <c r="F107" s="3"/>
      <c r="G107" s="3"/>
      <c r="H107" s="3" t="s">
        <v>191</v>
      </c>
      <c r="I107" s="3" t="s">
        <v>143</v>
      </c>
      <c r="J107" s="3">
        <v>91913</v>
      </c>
      <c r="K107" s="3"/>
      <c r="L107" s="3" t="s">
        <v>140</v>
      </c>
      <c r="M107" s="2">
        <v>42838</v>
      </c>
      <c r="N107" s="3" t="s">
        <v>159</v>
      </c>
      <c r="O107" s="3" t="s">
        <v>134</v>
      </c>
      <c r="P107" s="13">
        <v>2432049</v>
      </c>
      <c r="Q107" s="3">
        <f t="shared" si="1"/>
        <v>1</v>
      </c>
    </row>
    <row r="108" spans="1:17" x14ac:dyDescent="0.3">
      <c r="A108" s="2">
        <v>42839</v>
      </c>
      <c r="B108" s="3" t="s">
        <v>8</v>
      </c>
      <c r="C108" s="3" t="s">
        <v>9</v>
      </c>
      <c r="D108" s="3" t="s">
        <v>76</v>
      </c>
      <c r="E108" s="3" t="s">
        <v>108</v>
      </c>
      <c r="F108" s="3"/>
      <c r="G108" s="3"/>
      <c r="H108" s="3" t="s">
        <v>322</v>
      </c>
      <c r="I108" s="3" t="s">
        <v>130</v>
      </c>
      <c r="J108" s="3" t="s">
        <v>323</v>
      </c>
      <c r="K108" s="3"/>
      <c r="L108" s="3" t="s">
        <v>137</v>
      </c>
      <c r="M108" s="2">
        <v>42839</v>
      </c>
      <c r="N108" s="3" t="s">
        <v>138</v>
      </c>
      <c r="O108" s="3" t="s">
        <v>134</v>
      </c>
      <c r="P108" s="13">
        <v>2434854</v>
      </c>
      <c r="Q108" s="3">
        <f t="shared" si="1"/>
        <v>0</v>
      </c>
    </row>
    <row r="109" spans="1:17" x14ac:dyDescent="0.3">
      <c r="A109" s="2">
        <v>42840</v>
      </c>
      <c r="B109" s="3" t="s">
        <v>25</v>
      </c>
      <c r="C109" s="3" t="s">
        <v>26</v>
      </c>
      <c r="D109" s="3" t="s">
        <v>27</v>
      </c>
      <c r="E109" s="3" t="s">
        <v>101</v>
      </c>
      <c r="F109" s="3"/>
      <c r="G109" s="3"/>
      <c r="H109" s="3" t="s">
        <v>161</v>
      </c>
      <c r="I109" s="3" t="s">
        <v>194</v>
      </c>
      <c r="J109" s="3">
        <v>38016</v>
      </c>
      <c r="K109" s="3"/>
      <c r="L109" s="3" t="s">
        <v>137</v>
      </c>
      <c r="M109" s="2">
        <v>42842</v>
      </c>
      <c r="N109" s="3" t="s">
        <v>133</v>
      </c>
      <c r="O109" s="3" t="s">
        <v>134</v>
      </c>
      <c r="P109" s="13">
        <v>2435011</v>
      </c>
      <c r="Q109" s="3">
        <f t="shared" si="1"/>
        <v>2</v>
      </c>
    </row>
    <row r="110" spans="1:17" x14ac:dyDescent="0.3">
      <c r="A110" s="2">
        <v>42839</v>
      </c>
      <c r="B110" s="3" t="s">
        <v>14</v>
      </c>
      <c r="C110" s="3" t="s">
        <v>15</v>
      </c>
      <c r="D110" s="3" t="s">
        <v>16</v>
      </c>
      <c r="E110" s="3"/>
      <c r="F110" s="3"/>
      <c r="G110" s="3" t="s">
        <v>141</v>
      </c>
      <c r="H110" s="3" t="s">
        <v>142</v>
      </c>
      <c r="I110" s="3" t="s">
        <v>143</v>
      </c>
      <c r="J110" s="3">
        <v>90305</v>
      </c>
      <c r="K110" s="3"/>
      <c r="L110" s="3" t="s">
        <v>140</v>
      </c>
      <c r="M110" s="2">
        <v>42839</v>
      </c>
      <c r="N110" s="3" t="s">
        <v>138</v>
      </c>
      <c r="O110" s="3" t="s">
        <v>134</v>
      </c>
      <c r="P110" s="13">
        <v>2436165</v>
      </c>
      <c r="Q110" s="3">
        <f t="shared" si="1"/>
        <v>0</v>
      </c>
    </row>
    <row r="111" spans="1:17" x14ac:dyDescent="0.3">
      <c r="A111" s="2">
        <v>42839</v>
      </c>
      <c r="B111" s="3" t="s">
        <v>14</v>
      </c>
      <c r="C111" s="3" t="s">
        <v>23</v>
      </c>
      <c r="D111" s="3" t="s">
        <v>19</v>
      </c>
      <c r="E111" s="3"/>
      <c r="F111" s="3" t="s">
        <v>251</v>
      </c>
      <c r="G111" s="3" t="s">
        <v>128</v>
      </c>
      <c r="H111" s="3" t="s">
        <v>152</v>
      </c>
      <c r="I111" s="3" t="s">
        <v>130</v>
      </c>
      <c r="J111" s="3" t="s">
        <v>252</v>
      </c>
      <c r="K111" s="3"/>
      <c r="L111" s="3" t="s">
        <v>137</v>
      </c>
      <c r="M111" s="2">
        <v>42839</v>
      </c>
      <c r="N111" s="3" t="s">
        <v>138</v>
      </c>
      <c r="O111" s="3" t="s">
        <v>134</v>
      </c>
      <c r="P111" s="13">
        <v>2436277</v>
      </c>
      <c r="Q111" s="3">
        <f t="shared" si="1"/>
        <v>0</v>
      </c>
    </row>
    <row r="112" spans="1:17" x14ac:dyDescent="0.3">
      <c r="A112" s="2">
        <v>42840</v>
      </c>
      <c r="B112" s="3" t="s">
        <v>12</v>
      </c>
      <c r="C112" s="3"/>
      <c r="D112" s="3" t="s">
        <v>90</v>
      </c>
      <c r="E112" s="3"/>
      <c r="F112" s="3"/>
      <c r="G112" s="3" t="s">
        <v>128</v>
      </c>
      <c r="H112" s="3" t="s">
        <v>184</v>
      </c>
      <c r="I112" s="3" t="s">
        <v>130</v>
      </c>
      <c r="J112" s="3">
        <v>77407</v>
      </c>
      <c r="K112" s="3"/>
      <c r="L112" s="3" t="s">
        <v>137</v>
      </c>
      <c r="M112" s="2">
        <v>42840</v>
      </c>
      <c r="N112" s="3" t="s">
        <v>138</v>
      </c>
      <c r="O112" s="3" t="s">
        <v>134</v>
      </c>
      <c r="P112" s="13">
        <v>2436789</v>
      </c>
      <c r="Q112" s="3">
        <f t="shared" si="1"/>
        <v>0</v>
      </c>
    </row>
    <row r="113" spans="1:17" x14ac:dyDescent="0.3">
      <c r="A113" s="2">
        <v>42840</v>
      </c>
      <c r="B113" s="3" t="s">
        <v>20</v>
      </c>
      <c r="C113" s="3" t="s">
        <v>21</v>
      </c>
      <c r="D113" s="3" t="s">
        <v>34</v>
      </c>
      <c r="E113" s="3"/>
      <c r="F113" s="3"/>
      <c r="G113" s="3" t="s">
        <v>128</v>
      </c>
      <c r="H113" s="3" t="s">
        <v>144</v>
      </c>
      <c r="I113" s="3" t="s">
        <v>188</v>
      </c>
      <c r="J113" s="3"/>
      <c r="K113" s="3"/>
      <c r="L113" s="3" t="s">
        <v>137</v>
      </c>
      <c r="M113" s="2">
        <v>42842</v>
      </c>
      <c r="N113" s="3" t="s">
        <v>138</v>
      </c>
      <c r="O113" s="3" t="s">
        <v>134</v>
      </c>
      <c r="P113" s="13">
        <v>2436823</v>
      </c>
      <c r="Q113" s="3">
        <f t="shared" si="1"/>
        <v>2</v>
      </c>
    </row>
    <row r="114" spans="1:17" x14ac:dyDescent="0.3">
      <c r="A114" s="2">
        <v>42840</v>
      </c>
      <c r="B114" s="3" t="s">
        <v>25</v>
      </c>
      <c r="C114" s="3" t="s">
        <v>26</v>
      </c>
      <c r="D114" s="3" t="s">
        <v>27</v>
      </c>
      <c r="E114" s="3" t="s">
        <v>28</v>
      </c>
      <c r="F114" s="3"/>
      <c r="G114" s="3"/>
      <c r="H114" s="3" t="s">
        <v>161</v>
      </c>
      <c r="I114" s="3" t="s">
        <v>143</v>
      </c>
      <c r="J114" s="3" t="s">
        <v>162</v>
      </c>
      <c r="K114" s="3"/>
      <c r="L114" s="3" t="s">
        <v>137</v>
      </c>
      <c r="M114" s="2">
        <v>42840</v>
      </c>
      <c r="N114" s="3" t="s">
        <v>138</v>
      </c>
      <c r="O114" s="3" t="s">
        <v>134</v>
      </c>
      <c r="P114" s="13">
        <v>2436894</v>
      </c>
      <c r="Q114" s="3">
        <f t="shared" si="1"/>
        <v>0</v>
      </c>
    </row>
    <row r="115" spans="1:17" x14ac:dyDescent="0.3">
      <c r="A115" s="2">
        <v>42841</v>
      </c>
      <c r="B115" s="3" t="s">
        <v>20</v>
      </c>
      <c r="C115" s="3" t="s">
        <v>21</v>
      </c>
      <c r="D115" s="3" t="s">
        <v>34</v>
      </c>
      <c r="E115" s="3"/>
      <c r="F115" s="3" t="s">
        <v>348</v>
      </c>
      <c r="G115" s="3" t="s">
        <v>128</v>
      </c>
      <c r="H115" s="3" t="s">
        <v>144</v>
      </c>
      <c r="I115" s="3" t="s">
        <v>155</v>
      </c>
      <c r="J115" s="3" t="s">
        <v>349</v>
      </c>
      <c r="K115" s="3"/>
      <c r="L115" s="3" t="s">
        <v>137</v>
      </c>
      <c r="M115" s="2">
        <v>42841</v>
      </c>
      <c r="N115" s="3" t="s">
        <v>133</v>
      </c>
      <c r="O115" s="3" t="s">
        <v>134</v>
      </c>
      <c r="P115" s="13">
        <v>2437217</v>
      </c>
      <c r="Q115" s="3">
        <f t="shared" si="1"/>
        <v>0</v>
      </c>
    </row>
    <row r="116" spans="1:17" x14ac:dyDescent="0.3">
      <c r="A116" s="2">
        <v>42841</v>
      </c>
      <c r="B116" s="3" t="s">
        <v>8</v>
      </c>
      <c r="C116" s="3" t="s">
        <v>56</v>
      </c>
      <c r="D116" s="3" t="s">
        <v>57</v>
      </c>
      <c r="E116" s="3" t="s">
        <v>58</v>
      </c>
      <c r="F116" s="3"/>
      <c r="G116" s="3" t="s">
        <v>141</v>
      </c>
      <c r="H116" s="3" t="s">
        <v>199</v>
      </c>
      <c r="I116" s="3" t="s">
        <v>130</v>
      </c>
      <c r="J116" s="3">
        <v>76210</v>
      </c>
      <c r="K116" s="3"/>
      <c r="L116" s="3" t="s">
        <v>137</v>
      </c>
      <c r="M116" s="2">
        <v>42841</v>
      </c>
      <c r="N116" s="3" t="s">
        <v>138</v>
      </c>
      <c r="O116" s="3" t="s">
        <v>134</v>
      </c>
      <c r="P116" s="13">
        <v>2437313</v>
      </c>
      <c r="Q116" s="3">
        <f t="shared" si="1"/>
        <v>0</v>
      </c>
    </row>
    <row r="117" spans="1:17" x14ac:dyDescent="0.3">
      <c r="A117" s="2">
        <v>42842</v>
      </c>
      <c r="B117" s="3" t="s">
        <v>12</v>
      </c>
      <c r="C117" s="3"/>
      <c r="D117" s="3" t="s">
        <v>51</v>
      </c>
      <c r="E117" s="3"/>
      <c r="F117" s="3"/>
      <c r="G117" s="3" t="s">
        <v>128</v>
      </c>
      <c r="H117" s="3" t="s">
        <v>139</v>
      </c>
      <c r="I117" s="3" t="s">
        <v>206</v>
      </c>
      <c r="J117" s="3">
        <v>80221</v>
      </c>
      <c r="K117" s="3"/>
      <c r="L117" s="3" t="s">
        <v>132</v>
      </c>
      <c r="M117" s="2">
        <v>42842</v>
      </c>
      <c r="N117" s="3" t="s">
        <v>138</v>
      </c>
      <c r="O117" s="3" t="s">
        <v>134</v>
      </c>
      <c r="P117" s="13">
        <v>2437474</v>
      </c>
      <c r="Q117" s="3">
        <f t="shared" si="1"/>
        <v>0</v>
      </c>
    </row>
    <row r="118" spans="1:17" x14ac:dyDescent="0.3">
      <c r="A118" s="2">
        <v>42843</v>
      </c>
      <c r="B118" s="3" t="s">
        <v>39</v>
      </c>
      <c r="C118" s="3" t="s">
        <v>40</v>
      </c>
      <c r="D118" s="3" t="s">
        <v>65</v>
      </c>
      <c r="E118" s="3"/>
      <c r="F118" s="3"/>
      <c r="G118" s="3"/>
      <c r="H118" s="3" t="s">
        <v>219</v>
      </c>
      <c r="I118" s="3" t="s">
        <v>220</v>
      </c>
      <c r="J118" s="3">
        <v>67002</v>
      </c>
      <c r="K118" s="3"/>
      <c r="L118" s="3" t="s">
        <v>137</v>
      </c>
      <c r="M118" s="2">
        <v>42843</v>
      </c>
      <c r="N118" s="3" t="s">
        <v>221</v>
      </c>
      <c r="O118" s="3" t="s">
        <v>160</v>
      </c>
      <c r="P118" s="13">
        <v>2437553</v>
      </c>
      <c r="Q118" s="3">
        <f t="shared" si="1"/>
        <v>0</v>
      </c>
    </row>
    <row r="119" spans="1:17" x14ac:dyDescent="0.3">
      <c r="A119" s="2">
        <v>42842</v>
      </c>
      <c r="B119" s="3" t="s">
        <v>14</v>
      </c>
      <c r="C119" s="3" t="s">
        <v>69</v>
      </c>
      <c r="D119" s="3" t="s">
        <v>71</v>
      </c>
      <c r="E119" s="3"/>
      <c r="F119" s="3"/>
      <c r="G119" s="3" t="s">
        <v>128</v>
      </c>
      <c r="H119" s="3" t="s">
        <v>174</v>
      </c>
      <c r="I119" s="3" t="s">
        <v>177</v>
      </c>
      <c r="J119" s="3" t="s">
        <v>290</v>
      </c>
      <c r="K119" s="3" t="s">
        <v>131</v>
      </c>
      <c r="L119" s="3" t="s">
        <v>137</v>
      </c>
      <c r="M119" s="2">
        <v>42843</v>
      </c>
      <c r="N119" s="3" t="s">
        <v>138</v>
      </c>
      <c r="O119" s="3" t="s">
        <v>134</v>
      </c>
      <c r="P119" s="13">
        <v>2437750</v>
      </c>
      <c r="Q119" s="3">
        <f t="shared" si="1"/>
        <v>1</v>
      </c>
    </row>
    <row r="120" spans="1:17" x14ac:dyDescent="0.3">
      <c r="A120" s="2">
        <v>42842</v>
      </c>
      <c r="B120" s="3" t="s">
        <v>20</v>
      </c>
      <c r="C120" s="3" t="s">
        <v>21</v>
      </c>
      <c r="D120" s="3" t="s">
        <v>60</v>
      </c>
      <c r="E120" s="3"/>
      <c r="F120" s="3"/>
      <c r="G120" s="3" t="s">
        <v>128</v>
      </c>
      <c r="H120" s="3" t="s">
        <v>174</v>
      </c>
      <c r="I120" s="3" t="s">
        <v>148</v>
      </c>
      <c r="J120" s="3">
        <v>11221</v>
      </c>
      <c r="K120" s="3"/>
      <c r="L120" s="3" t="s">
        <v>140</v>
      </c>
      <c r="M120" s="2">
        <v>42843</v>
      </c>
      <c r="N120" s="3" t="s">
        <v>138</v>
      </c>
      <c r="O120" s="3" t="s">
        <v>134</v>
      </c>
      <c r="P120" s="13">
        <v>2437915</v>
      </c>
      <c r="Q120" s="3">
        <f t="shared" si="1"/>
        <v>1</v>
      </c>
    </row>
    <row r="121" spans="1:17" x14ac:dyDescent="0.3">
      <c r="A121" s="2">
        <v>42842</v>
      </c>
      <c r="B121" s="3" t="s">
        <v>46</v>
      </c>
      <c r="C121" s="3" t="s">
        <v>98</v>
      </c>
      <c r="D121" s="3" t="s">
        <v>62</v>
      </c>
      <c r="E121" s="3"/>
      <c r="F121" s="3"/>
      <c r="G121" s="3" t="s">
        <v>141</v>
      </c>
      <c r="H121" s="3" t="s">
        <v>187</v>
      </c>
      <c r="I121" s="3" t="s">
        <v>130</v>
      </c>
      <c r="J121" s="3">
        <v>76053</v>
      </c>
      <c r="K121" s="3"/>
      <c r="L121" s="3" t="s">
        <v>132</v>
      </c>
      <c r="M121" s="2">
        <v>42843</v>
      </c>
      <c r="N121" s="3" t="s">
        <v>138</v>
      </c>
      <c r="O121" s="3" t="s">
        <v>134</v>
      </c>
      <c r="P121" s="13">
        <v>2438333</v>
      </c>
      <c r="Q121" s="3">
        <f t="shared" si="1"/>
        <v>1</v>
      </c>
    </row>
    <row r="122" spans="1:17" x14ac:dyDescent="0.3">
      <c r="A122" s="2">
        <v>42842</v>
      </c>
      <c r="B122" s="3" t="s">
        <v>14</v>
      </c>
      <c r="C122" s="3" t="s">
        <v>32</v>
      </c>
      <c r="D122" s="3" t="s">
        <v>16</v>
      </c>
      <c r="E122" s="3"/>
      <c r="F122" s="3"/>
      <c r="G122" s="3"/>
      <c r="H122" s="3" t="s">
        <v>167</v>
      </c>
      <c r="I122" s="3" t="s">
        <v>143</v>
      </c>
      <c r="J122" s="3" t="s">
        <v>168</v>
      </c>
      <c r="K122" s="3"/>
      <c r="L122" s="3" t="s">
        <v>137</v>
      </c>
      <c r="M122" s="2">
        <v>42843</v>
      </c>
      <c r="N122" s="3" t="s">
        <v>138</v>
      </c>
      <c r="O122" s="3" t="s">
        <v>134</v>
      </c>
      <c r="P122" s="13">
        <v>2438698</v>
      </c>
      <c r="Q122" s="3">
        <f t="shared" si="1"/>
        <v>1</v>
      </c>
    </row>
    <row r="123" spans="1:17" x14ac:dyDescent="0.3">
      <c r="A123" s="2">
        <v>42842</v>
      </c>
      <c r="B123" s="3" t="s">
        <v>14</v>
      </c>
      <c r="C123" s="3" t="s">
        <v>23</v>
      </c>
      <c r="D123" s="3" t="s">
        <v>19</v>
      </c>
      <c r="E123" s="3"/>
      <c r="F123" s="3"/>
      <c r="G123" s="3"/>
      <c r="H123" s="3" t="s">
        <v>167</v>
      </c>
      <c r="I123" s="3" t="s">
        <v>185</v>
      </c>
      <c r="J123" s="3" t="s">
        <v>212</v>
      </c>
      <c r="K123" s="3"/>
      <c r="L123" s="3" t="s">
        <v>137</v>
      </c>
      <c r="M123" s="2">
        <v>42842</v>
      </c>
      <c r="N123" s="3" t="s">
        <v>138</v>
      </c>
      <c r="O123" s="3" t="s">
        <v>134</v>
      </c>
      <c r="P123" s="13">
        <v>2438700</v>
      </c>
      <c r="Q123" s="3">
        <f t="shared" si="1"/>
        <v>0</v>
      </c>
    </row>
    <row r="124" spans="1:17" x14ac:dyDescent="0.3">
      <c r="A124" s="2">
        <v>42843</v>
      </c>
      <c r="B124" s="3" t="s">
        <v>8</v>
      </c>
      <c r="C124" s="3" t="s">
        <v>67</v>
      </c>
      <c r="D124" s="3" t="s">
        <v>10</v>
      </c>
      <c r="E124" s="3" t="s">
        <v>18</v>
      </c>
      <c r="F124" s="3"/>
      <c r="G124" s="3"/>
      <c r="H124" s="3" t="s">
        <v>274</v>
      </c>
      <c r="I124" s="3" t="s">
        <v>275</v>
      </c>
      <c r="J124" s="3">
        <v>46235</v>
      </c>
      <c r="K124" s="3"/>
      <c r="L124" s="3" t="s">
        <v>137</v>
      </c>
      <c r="M124" s="2">
        <v>42843</v>
      </c>
      <c r="N124" s="3" t="s">
        <v>221</v>
      </c>
      <c r="O124" s="3" t="s">
        <v>160</v>
      </c>
      <c r="P124" s="13">
        <v>2438909</v>
      </c>
      <c r="Q124" s="3">
        <f t="shared" si="1"/>
        <v>0</v>
      </c>
    </row>
    <row r="125" spans="1:17" x14ac:dyDescent="0.3">
      <c r="A125" s="2">
        <v>42842</v>
      </c>
      <c r="B125" s="3" t="s">
        <v>14</v>
      </c>
      <c r="C125" s="3" t="s">
        <v>23</v>
      </c>
      <c r="D125" s="3" t="s">
        <v>19</v>
      </c>
      <c r="E125" s="3"/>
      <c r="F125" s="3"/>
      <c r="G125" s="3" t="s">
        <v>128</v>
      </c>
      <c r="H125" s="3" t="s">
        <v>170</v>
      </c>
      <c r="I125" s="3" t="s">
        <v>185</v>
      </c>
      <c r="J125" s="3">
        <v>24212</v>
      </c>
      <c r="K125" s="3" t="s">
        <v>131</v>
      </c>
      <c r="L125" s="3" t="s">
        <v>132</v>
      </c>
      <c r="M125" s="2">
        <v>42843</v>
      </c>
      <c r="N125" s="3" t="s">
        <v>138</v>
      </c>
      <c r="O125" s="3" t="s">
        <v>134</v>
      </c>
      <c r="P125" s="13">
        <v>2439229</v>
      </c>
      <c r="Q125" s="3">
        <f t="shared" si="1"/>
        <v>1</v>
      </c>
    </row>
    <row r="126" spans="1:17" x14ac:dyDescent="0.3">
      <c r="A126" s="2">
        <v>42842</v>
      </c>
      <c r="B126" s="3" t="s">
        <v>46</v>
      </c>
      <c r="C126" s="3" t="s">
        <v>47</v>
      </c>
      <c r="D126" s="3" t="s">
        <v>62</v>
      </c>
      <c r="E126" s="3"/>
      <c r="F126" s="3"/>
      <c r="G126" s="3"/>
      <c r="H126" s="3" t="s">
        <v>187</v>
      </c>
      <c r="I126" s="3" t="s">
        <v>143</v>
      </c>
      <c r="J126" s="3" t="s">
        <v>211</v>
      </c>
      <c r="K126" s="3"/>
      <c r="L126" s="3" t="s">
        <v>137</v>
      </c>
      <c r="M126" s="2">
        <v>42843</v>
      </c>
      <c r="N126" s="3" t="s">
        <v>149</v>
      </c>
      <c r="O126" s="3" t="s">
        <v>134</v>
      </c>
      <c r="P126" s="13">
        <v>2439263</v>
      </c>
      <c r="Q126" s="3">
        <f t="shared" si="1"/>
        <v>1</v>
      </c>
    </row>
    <row r="127" spans="1:17" x14ac:dyDescent="0.3">
      <c r="A127" s="2">
        <v>42843</v>
      </c>
      <c r="B127" s="3" t="s">
        <v>8</v>
      </c>
      <c r="C127" s="3" t="s">
        <v>86</v>
      </c>
      <c r="D127" s="3" t="s">
        <v>76</v>
      </c>
      <c r="E127" s="3" t="s">
        <v>77</v>
      </c>
      <c r="F127" s="3"/>
      <c r="G127" s="3"/>
      <c r="H127" s="3" t="s">
        <v>335</v>
      </c>
      <c r="I127" s="3" t="s">
        <v>171</v>
      </c>
      <c r="J127" s="3" t="s">
        <v>336</v>
      </c>
      <c r="K127" s="3"/>
      <c r="L127" s="3" t="s">
        <v>137</v>
      </c>
      <c r="M127" s="2">
        <v>42843</v>
      </c>
      <c r="N127" s="3" t="s">
        <v>138</v>
      </c>
      <c r="O127" s="3" t="s">
        <v>134</v>
      </c>
      <c r="P127" s="13">
        <v>2439443</v>
      </c>
      <c r="Q127" s="3">
        <f t="shared" si="1"/>
        <v>0</v>
      </c>
    </row>
    <row r="128" spans="1:17" x14ac:dyDescent="0.3">
      <c r="A128" s="2">
        <v>42843</v>
      </c>
      <c r="B128" s="3" t="s">
        <v>20</v>
      </c>
      <c r="C128" s="3" t="s">
        <v>21</v>
      </c>
      <c r="D128" s="3" t="s">
        <v>34</v>
      </c>
      <c r="E128" s="3"/>
      <c r="F128" s="3"/>
      <c r="G128" s="3"/>
      <c r="H128" s="3" t="s">
        <v>174</v>
      </c>
      <c r="I128" s="3" t="s">
        <v>143</v>
      </c>
      <c r="J128" s="3">
        <v>91941</v>
      </c>
      <c r="K128" s="3"/>
      <c r="L128" s="3" t="s">
        <v>146</v>
      </c>
      <c r="M128" s="2">
        <v>42844</v>
      </c>
      <c r="N128" s="3" t="s">
        <v>149</v>
      </c>
      <c r="O128" s="3" t="s">
        <v>134</v>
      </c>
      <c r="P128" s="13">
        <v>2439541</v>
      </c>
      <c r="Q128" s="3">
        <f t="shared" si="1"/>
        <v>1</v>
      </c>
    </row>
    <row r="129" spans="1:17" x14ac:dyDescent="0.3">
      <c r="A129" s="2">
        <v>42843</v>
      </c>
      <c r="B129" s="3" t="s">
        <v>8</v>
      </c>
      <c r="C129" s="3" t="s">
        <v>12</v>
      </c>
      <c r="D129" s="3" t="s">
        <v>76</v>
      </c>
      <c r="E129" s="3" t="s">
        <v>77</v>
      </c>
      <c r="F129" s="3"/>
      <c r="G129" s="3"/>
      <c r="H129" s="3" t="s">
        <v>354</v>
      </c>
      <c r="I129" s="3" t="s">
        <v>148</v>
      </c>
      <c r="J129" s="3" t="s">
        <v>355</v>
      </c>
      <c r="K129" s="3"/>
      <c r="L129" s="3" t="s">
        <v>137</v>
      </c>
      <c r="M129" s="2">
        <v>42843</v>
      </c>
      <c r="N129" s="3" t="s">
        <v>221</v>
      </c>
      <c r="O129" s="3" t="s">
        <v>160</v>
      </c>
      <c r="P129" s="13">
        <v>2439575</v>
      </c>
      <c r="Q129" s="3">
        <f t="shared" si="1"/>
        <v>0</v>
      </c>
    </row>
    <row r="130" spans="1:17" x14ac:dyDescent="0.3">
      <c r="A130" s="2">
        <v>42843</v>
      </c>
      <c r="B130" s="3" t="s">
        <v>25</v>
      </c>
      <c r="C130" s="3" t="s">
        <v>36</v>
      </c>
      <c r="D130" s="3" t="s">
        <v>37</v>
      </c>
      <c r="E130" s="3" t="s">
        <v>59</v>
      </c>
      <c r="F130" s="3"/>
      <c r="G130" s="3"/>
      <c r="H130" s="3" t="s">
        <v>191</v>
      </c>
      <c r="I130" s="3" t="s">
        <v>164</v>
      </c>
      <c r="J130" s="3">
        <v>20772</v>
      </c>
      <c r="K130" s="3"/>
      <c r="L130" s="3" t="s">
        <v>140</v>
      </c>
      <c r="M130" s="2">
        <v>42844</v>
      </c>
      <c r="N130" s="3" t="s">
        <v>138</v>
      </c>
      <c r="O130" s="3" t="s">
        <v>134</v>
      </c>
      <c r="P130" s="13">
        <v>2439594</v>
      </c>
      <c r="Q130" s="3">
        <f t="shared" si="1"/>
        <v>1</v>
      </c>
    </row>
    <row r="131" spans="1:17" x14ac:dyDescent="0.3">
      <c r="A131" s="2">
        <v>42843</v>
      </c>
      <c r="B131" s="3" t="s">
        <v>20</v>
      </c>
      <c r="C131" s="3" t="s">
        <v>21</v>
      </c>
      <c r="D131" s="3" t="s">
        <v>34</v>
      </c>
      <c r="E131" s="3"/>
      <c r="F131" s="3"/>
      <c r="G131" s="3"/>
      <c r="H131" s="3" t="s">
        <v>270</v>
      </c>
      <c r="I131" s="3" t="s">
        <v>271</v>
      </c>
      <c r="J131" s="3">
        <v>2151</v>
      </c>
      <c r="K131" s="3"/>
      <c r="L131" s="3" t="s">
        <v>140</v>
      </c>
      <c r="M131" s="2">
        <v>42843</v>
      </c>
      <c r="N131" s="3" t="s">
        <v>159</v>
      </c>
      <c r="O131" s="3" t="s">
        <v>134</v>
      </c>
      <c r="P131" s="13">
        <v>2439654</v>
      </c>
      <c r="Q131" s="3">
        <f t="shared" ref="Q131:Q194" si="2">M131-A131</f>
        <v>0</v>
      </c>
    </row>
    <row r="132" spans="1:17" x14ac:dyDescent="0.3">
      <c r="A132" s="2">
        <v>42843</v>
      </c>
      <c r="B132" s="3" t="s">
        <v>14</v>
      </c>
      <c r="C132" s="3" t="s">
        <v>23</v>
      </c>
      <c r="D132" s="3" t="s">
        <v>19</v>
      </c>
      <c r="E132" s="3"/>
      <c r="F132" s="3"/>
      <c r="G132" s="3" t="s">
        <v>128</v>
      </c>
      <c r="H132" s="3" t="s">
        <v>170</v>
      </c>
      <c r="I132" s="3" t="s">
        <v>143</v>
      </c>
      <c r="J132" s="3" t="s">
        <v>324</v>
      </c>
      <c r="K132" s="3"/>
      <c r="L132" s="3" t="s">
        <v>137</v>
      </c>
      <c r="M132" s="2">
        <v>42843</v>
      </c>
      <c r="N132" s="3" t="s">
        <v>138</v>
      </c>
      <c r="O132" s="3" t="s">
        <v>134</v>
      </c>
      <c r="P132" s="13">
        <v>2439707</v>
      </c>
      <c r="Q132" s="3">
        <f t="shared" si="2"/>
        <v>0</v>
      </c>
    </row>
    <row r="133" spans="1:17" x14ac:dyDescent="0.3">
      <c r="A133" s="2">
        <v>42843</v>
      </c>
      <c r="B133" s="3" t="s">
        <v>14</v>
      </c>
      <c r="C133" s="3" t="s">
        <v>23</v>
      </c>
      <c r="D133" s="3" t="s">
        <v>19</v>
      </c>
      <c r="E133" s="3"/>
      <c r="F133" s="3"/>
      <c r="G133" s="3" t="s">
        <v>128</v>
      </c>
      <c r="H133" s="3" t="s">
        <v>152</v>
      </c>
      <c r="I133" s="3" t="s">
        <v>143</v>
      </c>
      <c r="J133" s="3" t="s">
        <v>338</v>
      </c>
      <c r="K133" s="3"/>
      <c r="L133" s="3" t="s">
        <v>137</v>
      </c>
      <c r="M133" s="2">
        <v>42843</v>
      </c>
      <c r="N133" s="3" t="s">
        <v>138</v>
      </c>
      <c r="O133" s="3" t="s">
        <v>134</v>
      </c>
      <c r="P133" s="13">
        <v>2439795</v>
      </c>
      <c r="Q133" s="3">
        <f t="shared" si="2"/>
        <v>0</v>
      </c>
    </row>
    <row r="134" spans="1:17" x14ac:dyDescent="0.3">
      <c r="A134" s="2">
        <v>42843</v>
      </c>
      <c r="B134" s="3" t="s">
        <v>8</v>
      </c>
      <c r="C134" s="3" t="s">
        <v>9</v>
      </c>
      <c r="D134" s="3" t="s">
        <v>10</v>
      </c>
      <c r="E134" s="3" t="s">
        <v>55</v>
      </c>
      <c r="F134" s="3"/>
      <c r="G134" s="3"/>
      <c r="H134" s="3" t="s">
        <v>334</v>
      </c>
      <c r="I134" s="3" t="s">
        <v>171</v>
      </c>
      <c r="J134" s="3" t="s">
        <v>249</v>
      </c>
      <c r="K134" s="3"/>
      <c r="L134" s="3" t="s">
        <v>137</v>
      </c>
      <c r="M134" s="2">
        <v>42843</v>
      </c>
      <c r="N134" s="3" t="s">
        <v>221</v>
      </c>
      <c r="O134" s="3" t="s">
        <v>160</v>
      </c>
      <c r="P134" s="13">
        <v>2439908</v>
      </c>
      <c r="Q134" s="3">
        <f t="shared" si="2"/>
        <v>0</v>
      </c>
    </row>
    <row r="135" spans="1:17" x14ac:dyDescent="0.3">
      <c r="A135" s="2">
        <v>42843</v>
      </c>
      <c r="B135" s="3" t="s">
        <v>20</v>
      </c>
      <c r="C135" s="3" t="s">
        <v>21</v>
      </c>
      <c r="D135" s="3" t="s">
        <v>34</v>
      </c>
      <c r="E135" s="3"/>
      <c r="F135" s="3"/>
      <c r="G135" s="3" t="s">
        <v>128</v>
      </c>
      <c r="H135" s="3" t="s">
        <v>144</v>
      </c>
      <c r="I135" s="3" t="s">
        <v>356</v>
      </c>
      <c r="J135" s="3">
        <v>64081</v>
      </c>
      <c r="K135" s="3"/>
      <c r="L135" s="3" t="s">
        <v>140</v>
      </c>
      <c r="M135" s="2">
        <v>42843</v>
      </c>
      <c r="N135" s="3" t="s">
        <v>159</v>
      </c>
      <c r="O135" s="3" t="s">
        <v>134</v>
      </c>
      <c r="P135" s="13">
        <v>2440060</v>
      </c>
      <c r="Q135" s="3">
        <f t="shared" si="2"/>
        <v>0</v>
      </c>
    </row>
    <row r="136" spans="1:17" x14ac:dyDescent="0.3">
      <c r="A136" s="2">
        <v>42843</v>
      </c>
      <c r="B136" s="3" t="s">
        <v>14</v>
      </c>
      <c r="C136" s="3" t="s">
        <v>63</v>
      </c>
      <c r="D136" s="3" t="s">
        <v>19</v>
      </c>
      <c r="E136" s="3"/>
      <c r="F136" s="3"/>
      <c r="G136" s="3" t="s">
        <v>128</v>
      </c>
      <c r="H136" s="3" t="s">
        <v>213</v>
      </c>
      <c r="I136" s="3" t="s">
        <v>185</v>
      </c>
      <c r="J136" s="3">
        <v>23113</v>
      </c>
      <c r="K136" s="3" t="s">
        <v>131</v>
      </c>
      <c r="L136" s="3" t="s">
        <v>137</v>
      </c>
      <c r="M136" s="2">
        <v>42843</v>
      </c>
      <c r="N136" s="3" t="s">
        <v>138</v>
      </c>
      <c r="O136" s="3" t="s">
        <v>134</v>
      </c>
      <c r="P136" s="13">
        <v>2440213</v>
      </c>
      <c r="Q136" s="3">
        <f t="shared" si="2"/>
        <v>0</v>
      </c>
    </row>
    <row r="137" spans="1:17" x14ac:dyDescent="0.3">
      <c r="A137" s="2">
        <v>42843</v>
      </c>
      <c r="B137" s="3" t="s">
        <v>39</v>
      </c>
      <c r="C137" s="3" t="s">
        <v>40</v>
      </c>
      <c r="D137" s="3" t="s">
        <v>41</v>
      </c>
      <c r="E137" s="3"/>
      <c r="F137" s="3"/>
      <c r="G137" s="3" t="s">
        <v>128</v>
      </c>
      <c r="H137" s="3" t="s">
        <v>179</v>
      </c>
      <c r="I137" s="3" t="s">
        <v>180</v>
      </c>
      <c r="J137" s="3" t="s">
        <v>181</v>
      </c>
      <c r="K137" s="3"/>
      <c r="L137" s="3" t="s">
        <v>137</v>
      </c>
      <c r="M137" s="2">
        <v>42843</v>
      </c>
      <c r="N137" s="3" t="s">
        <v>138</v>
      </c>
      <c r="O137" s="3" t="s">
        <v>134</v>
      </c>
      <c r="P137" s="13">
        <v>2440279</v>
      </c>
      <c r="Q137" s="3">
        <f t="shared" si="2"/>
        <v>0</v>
      </c>
    </row>
    <row r="138" spans="1:17" x14ac:dyDescent="0.3">
      <c r="A138" s="2">
        <v>42843</v>
      </c>
      <c r="B138" s="3" t="s">
        <v>12</v>
      </c>
      <c r="C138" s="3"/>
      <c r="D138" s="3" t="s">
        <v>17</v>
      </c>
      <c r="E138" s="3"/>
      <c r="F138" s="3"/>
      <c r="G138" s="3" t="s">
        <v>128</v>
      </c>
      <c r="H138" s="3" t="s">
        <v>144</v>
      </c>
      <c r="I138" s="3" t="s">
        <v>177</v>
      </c>
      <c r="J138" s="3" t="s">
        <v>239</v>
      </c>
      <c r="K138" s="3"/>
      <c r="L138" s="3" t="s">
        <v>137</v>
      </c>
      <c r="M138" s="2">
        <v>42843</v>
      </c>
      <c r="N138" s="3" t="s">
        <v>133</v>
      </c>
      <c r="O138" s="3" t="s">
        <v>134</v>
      </c>
      <c r="P138" s="13">
        <v>2440285</v>
      </c>
      <c r="Q138" s="3">
        <f t="shared" si="2"/>
        <v>0</v>
      </c>
    </row>
    <row r="139" spans="1:17" x14ac:dyDescent="0.3">
      <c r="A139" s="2">
        <v>42843</v>
      </c>
      <c r="B139" s="3" t="s">
        <v>12</v>
      </c>
      <c r="C139" s="3"/>
      <c r="D139" s="3" t="s">
        <v>17</v>
      </c>
      <c r="E139" s="3"/>
      <c r="F139" s="3"/>
      <c r="G139" s="3"/>
      <c r="H139" s="3" t="s">
        <v>191</v>
      </c>
      <c r="I139" s="3" t="s">
        <v>310</v>
      </c>
      <c r="J139" s="3" t="s">
        <v>311</v>
      </c>
      <c r="K139" s="3"/>
      <c r="L139" s="3" t="s">
        <v>137</v>
      </c>
      <c r="M139" s="2">
        <v>42844</v>
      </c>
      <c r="N139" s="3" t="s">
        <v>138</v>
      </c>
      <c r="O139" s="3" t="s">
        <v>134</v>
      </c>
      <c r="P139" s="13">
        <v>2440298</v>
      </c>
      <c r="Q139" s="3">
        <f t="shared" si="2"/>
        <v>1</v>
      </c>
    </row>
    <row r="140" spans="1:17" x14ac:dyDescent="0.3">
      <c r="A140" s="2">
        <v>42843</v>
      </c>
      <c r="B140" s="3" t="s">
        <v>14</v>
      </c>
      <c r="C140" s="3" t="s">
        <v>15</v>
      </c>
      <c r="D140" s="3" t="s">
        <v>19</v>
      </c>
      <c r="E140" s="3"/>
      <c r="F140" s="3"/>
      <c r="G140" s="3" t="s">
        <v>128</v>
      </c>
      <c r="H140" s="3" t="s">
        <v>139</v>
      </c>
      <c r="I140" s="3" t="s">
        <v>164</v>
      </c>
      <c r="J140" s="3">
        <v>21215</v>
      </c>
      <c r="K140" s="3"/>
      <c r="L140" s="3" t="s">
        <v>140</v>
      </c>
      <c r="M140" s="2">
        <v>42845</v>
      </c>
      <c r="N140" s="3" t="s">
        <v>133</v>
      </c>
      <c r="O140" s="3" t="s">
        <v>134</v>
      </c>
      <c r="P140" s="13">
        <v>2440304</v>
      </c>
      <c r="Q140" s="3">
        <f t="shared" si="2"/>
        <v>2</v>
      </c>
    </row>
    <row r="141" spans="1:17" x14ac:dyDescent="0.3">
      <c r="A141" s="2">
        <v>42843</v>
      </c>
      <c r="B141" s="3" t="s">
        <v>12</v>
      </c>
      <c r="C141" s="3"/>
      <c r="D141" s="3" t="s">
        <v>84</v>
      </c>
      <c r="E141" s="3"/>
      <c r="F141" s="3"/>
      <c r="G141" s="3" t="s">
        <v>141</v>
      </c>
      <c r="H141" s="3" t="s">
        <v>154</v>
      </c>
      <c r="I141" s="3" t="s">
        <v>177</v>
      </c>
      <c r="J141" s="3">
        <v>15963</v>
      </c>
      <c r="K141" s="3" t="s">
        <v>131</v>
      </c>
      <c r="L141" s="3" t="s">
        <v>146</v>
      </c>
      <c r="M141" s="2">
        <v>42843</v>
      </c>
      <c r="N141" s="3" t="s">
        <v>138</v>
      </c>
      <c r="O141" s="3" t="s">
        <v>134</v>
      </c>
      <c r="P141" s="13">
        <v>2440352</v>
      </c>
      <c r="Q141" s="3">
        <f t="shared" si="2"/>
        <v>0</v>
      </c>
    </row>
    <row r="142" spans="1:17" x14ac:dyDescent="0.3">
      <c r="A142" s="2">
        <v>42843</v>
      </c>
      <c r="B142" s="3" t="s">
        <v>8</v>
      </c>
      <c r="C142" s="3" t="s">
        <v>9</v>
      </c>
      <c r="D142" s="3" t="s">
        <v>10</v>
      </c>
      <c r="E142" s="3" t="s">
        <v>18</v>
      </c>
      <c r="F142" s="3"/>
      <c r="G142" s="3"/>
      <c r="H142" s="3" t="s">
        <v>147</v>
      </c>
      <c r="I142" s="3" t="s">
        <v>148</v>
      </c>
      <c r="J142" s="3">
        <v>14063</v>
      </c>
      <c r="K142" s="3"/>
      <c r="L142" s="3" t="s">
        <v>140</v>
      </c>
      <c r="M142" s="2">
        <v>42844</v>
      </c>
      <c r="N142" s="3" t="s">
        <v>149</v>
      </c>
      <c r="O142" s="3" t="s">
        <v>134</v>
      </c>
      <c r="P142" s="13">
        <v>2440364</v>
      </c>
      <c r="Q142" s="3">
        <f t="shared" si="2"/>
        <v>1</v>
      </c>
    </row>
    <row r="143" spans="1:17" x14ac:dyDescent="0.3">
      <c r="A143" s="2">
        <v>42843</v>
      </c>
      <c r="B143" s="3" t="s">
        <v>39</v>
      </c>
      <c r="C143" s="3" t="s">
        <v>40</v>
      </c>
      <c r="D143" s="3" t="s">
        <v>82</v>
      </c>
      <c r="E143" s="3"/>
      <c r="F143" s="3"/>
      <c r="G143" s="3" t="s">
        <v>128</v>
      </c>
      <c r="H143" s="3" t="s">
        <v>255</v>
      </c>
      <c r="I143" s="3" t="s">
        <v>143</v>
      </c>
      <c r="J143" s="3" t="s">
        <v>256</v>
      </c>
      <c r="K143" s="3" t="s">
        <v>131</v>
      </c>
      <c r="L143" s="3" t="s">
        <v>137</v>
      </c>
      <c r="M143" s="2">
        <v>42843</v>
      </c>
      <c r="N143" s="3" t="s">
        <v>138</v>
      </c>
      <c r="O143" s="3" t="s">
        <v>134</v>
      </c>
      <c r="P143" s="13">
        <v>2440401</v>
      </c>
      <c r="Q143" s="3">
        <f t="shared" si="2"/>
        <v>0</v>
      </c>
    </row>
    <row r="144" spans="1:17" x14ac:dyDescent="0.3">
      <c r="A144" s="2">
        <v>42843</v>
      </c>
      <c r="B144" s="3" t="s">
        <v>73</v>
      </c>
      <c r="C144" s="3" t="s">
        <v>74</v>
      </c>
      <c r="D144" s="3" t="s">
        <v>75</v>
      </c>
      <c r="E144" s="3"/>
      <c r="F144" s="3"/>
      <c r="G144" s="3" t="s">
        <v>128</v>
      </c>
      <c r="H144" s="3" t="s">
        <v>237</v>
      </c>
      <c r="I144" s="3" t="s">
        <v>238</v>
      </c>
      <c r="J144" s="3">
        <v>4747</v>
      </c>
      <c r="K144" s="3" t="s">
        <v>131</v>
      </c>
      <c r="L144" s="3" t="s">
        <v>140</v>
      </c>
      <c r="M144" s="2">
        <v>42844</v>
      </c>
      <c r="N144" s="3" t="s">
        <v>138</v>
      </c>
      <c r="O144" s="3" t="s">
        <v>134</v>
      </c>
      <c r="P144" s="13">
        <v>2440513</v>
      </c>
      <c r="Q144" s="3">
        <f t="shared" si="2"/>
        <v>1</v>
      </c>
    </row>
    <row r="145" spans="1:17" x14ac:dyDescent="0.3">
      <c r="A145" s="2">
        <v>42843</v>
      </c>
      <c r="B145" s="3" t="s">
        <v>20</v>
      </c>
      <c r="C145" s="3" t="s">
        <v>35</v>
      </c>
      <c r="D145" s="3" t="s">
        <v>34</v>
      </c>
      <c r="E145" s="3"/>
      <c r="F145" s="3"/>
      <c r="G145" s="3" t="s">
        <v>128</v>
      </c>
      <c r="H145" s="3" t="s">
        <v>174</v>
      </c>
      <c r="I145" s="3" t="s">
        <v>151</v>
      </c>
      <c r="J145" s="3" t="s">
        <v>329</v>
      </c>
      <c r="K145" s="3" t="s">
        <v>186</v>
      </c>
      <c r="L145" s="3" t="s">
        <v>137</v>
      </c>
      <c r="M145" s="2">
        <v>42843</v>
      </c>
      <c r="N145" s="3" t="s">
        <v>138</v>
      </c>
      <c r="O145" s="3" t="s">
        <v>134</v>
      </c>
      <c r="P145" s="13">
        <v>2440617</v>
      </c>
      <c r="Q145" s="3">
        <f t="shared" si="2"/>
        <v>0</v>
      </c>
    </row>
    <row r="146" spans="1:17" x14ac:dyDescent="0.3">
      <c r="A146" s="2">
        <v>42843</v>
      </c>
      <c r="B146" s="3" t="s">
        <v>39</v>
      </c>
      <c r="C146" s="3" t="s">
        <v>40</v>
      </c>
      <c r="D146" s="3" t="s">
        <v>65</v>
      </c>
      <c r="E146" s="3"/>
      <c r="F146" s="3"/>
      <c r="G146" s="3"/>
      <c r="H146" s="3" t="s">
        <v>270</v>
      </c>
      <c r="I146" s="3" t="s">
        <v>209</v>
      </c>
      <c r="J146" s="3" t="s">
        <v>353</v>
      </c>
      <c r="K146" s="3"/>
      <c r="L146" s="3" t="s">
        <v>137</v>
      </c>
      <c r="M146" s="2">
        <v>42843</v>
      </c>
      <c r="N146" s="3" t="s">
        <v>149</v>
      </c>
      <c r="O146" s="3" t="s">
        <v>134</v>
      </c>
      <c r="P146" s="13">
        <v>2440699</v>
      </c>
      <c r="Q146" s="3">
        <f t="shared" si="2"/>
        <v>0</v>
      </c>
    </row>
    <row r="147" spans="1:17" x14ac:dyDescent="0.3">
      <c r="A147" s="2">
        <v>42843</v>
      </c>
      <c r="B147" s="3" t="s">
        <v>20</v>
      </c>
      <c r="C147" s="3" t="s">
        <v>21</v>
      </c>
      <c r="D147" s="3" t="s">
        <v>34</v>
      </c>
      <c r="E147" s="3"/>
      <c r="F147" s="3"/>
      <c r="G147" s="3"/>
      <c r="H147" s="3" t="s">
        <v>152</v>
      </c>
      <c r="I147" s="3" t="s">
        <v>130</v>
      </c>
      <c r="J147" s="3">
        <v>78676</v>
      </c>
      <c r="K147" s="3"/>
      <c r="L147" s="3" t="s">
        <v>140</v>
      </c>
      <c r="M147" s="2">
        <v>42843</v>
      </c>
      <c r="N147" s="3" t="s">
        <v>149</v>
      </c>
      <c r="O147" s="3" t="s">
        <v>134</v>
      </c>
      <c r="P147" s="13">
        <v>2440790</v>
      </c>
      <c r="Q147" s="3">
        <f t="shared" si="2"/>
        <v>0</v>
      </c>
    </row>
    <row r="148" spans="1:17" x14ac:dyDescent="0.3">
      <c r="A148" s="2">
        <v>42843</v>
      </c>
      <c r="B148" s="3" t="s">
        <v>14</v>
      </c>
      <c r="C148" s="3" t="s">
        <v>23</v>
      </c>
      <c r="D148" s="3" t="s">
        <v>16</v>
      </c>
      <c r="E148" s="3"/>
      <c r="F148" s="3"/>
      <c r="G148" s="3"/>
      <c r="H148" s="3" t="s">
        <v>167</v>
      </c>
      <c r="I148" s="3" t="s">
        <v>164</v>
      </c>
      <c r="J148" s="3">
        <v>21157</v>
      </c>
      <c r="K148" s="3"/>
      <c r="L148" s="3" t="s">
        <v>137</v>
      </c>
      <c r="M148" s="2">
        <v>42843</v>
      </c>
      <c r="N148" s="3" t="s">
        <v>138</v>
      </c>
      <c r="O148" s="3" t="s">
        <v>134</v>
      </c>
      <c r="P148" s="13">
        <v>2440817</v>
      </c>
      <c r="Q148" s="3">
        <f t="shared" si="2"/>
        <v>0</v>
      </c>
    </row>
    <row r="149" spans="1:17" x14ac:dyDescent="0.3">
      <c r="A149" s="2">
        <v>42843</v>
      </c>
      <c r="B149" s="3" t="s">
        <v>25</v>
      </c>
      <c r="C149" s="3" t="s">
        <v>36</v>
      </c>
      <c r="D149" s="3" t="s">
        <v>27</v>
      </c>
      <c r="E149" s="3" t="s">
        <v>85</v>
      </c>
      <c r="F149" s="3"/>
      <c r="G149" s="3"/>
      <c r="H149" s="3" t="s">
        <v>176</v>
      </c>
      <c r="I149" s="3" t="s">
        <v>262</v>
      </c>
      <c r="J149" s="3" t="s">
        <v>263</v>
      </c>
      <c r="K149" s="3"/>
      <c r="L149" s="3" t="s">
        <v>137</v>
      </c>
      <c r="M149" s="2">
        <v>42843</v>
      </c>
      <c r="N149" s="3" t="s">
        <v>149</v>
      </c>
      <c r="O149" s="3" t="s">
        <v>134</v>
      </c>
      <c r="P149" s="13">
        <v>2440969</v>
      </c>
      <c r="Q149" s="3">
        <f t="shared" si="2"/>
        <v>0</v>
      </c>
    </row>
    <row r="150" spans="1:17" x14ac:dyDescent="0.3">
      <c r="A150" s="2">
        <v>42843</v>
      </c>
      <c r="B150" s="3" t="s">
        <v>14</v>
      </c>
      <c r="C150" s="3" t="s">
        <v>15</v>
      </c>
      <c r="D150" s="3" t="s">
        <v>19</v>
      </c>
      <c r="E150" s="3"/>
      <c r="F150" s="3"/>
      <c r="G150" s="3"/>
      <c r="H150" s="3" t="s">
        <v>345</v>
      </c>
      <c r="I150" s="3" t="s">
        <v>130</v>
      </c>
      <c r="J150" s="3" t="s">
        <v>346</v>
      </c>
      <c r="K150" s="3"/>
      <c r="L150" s="3" t="s">
        <v>137</v>
      </c>
      <c r="M150" s="2">
        <v>42845</v>
      </c>
      <c r="N150" s="3" t="s">
        <v>149</v>
      </c>
      <c r="O150" s="3" t="s">
        <v>134</v>
      </c>
      <c r="P150" s="13">
        <v>2440991</v>
      </c>
      <c r="Q150" s="3">
        <f t="shared" si="2"/>
        <v>2</v>
      </c>
    </row>
    <row r="151" spans="1:17" x14ac:dyDescent="0.3">
      <c r="A151" s="2">
        <v>42843</v>
      </c>
      <c r="B151" s="3" t="s">
        <v>8</v>
      </c>
      <c r="C151" s="3" t="s">
        <v>12</v>
      </c>
      <c r="D151" s="3" t="s">
        <v>76</v>
      </c>
      <c r="E151" s="3" t="s">
        <v>77</v>
      </c>
      <c r="F151" s="3"/>
      <c r="G151" s="3"/>
      <c r="H151" s="3" t="s">
        <v>190</v>
      </c>
      <c r="I151" s="3" t="s">
        <v>151</v>
      </c>
      <c r="J151" s="3">
        <v>33614</v>
      </c>
      <c r="K151" s="3"/>
      <c r="L151" s="3" t="s">
        <v>137</v>
      </c>
      <c r="M151" s="2">
        <v>42843</v>
      </c>
      <c r="N151" s="3" t="s">
        <v>138</v>
      </c>
      <c r="O151" s="3" t="s">
        <v>134</v>
      </c>
      <c r="P151" s="13">
        <v>2441095</v>
      </c>
      <c r="Q151" s="3">
        <f t="shared" si="2"/>
        <v>0</v>
      </c>
    </row>
    <row r="152" spans="1:17" x14ac:dyDescent="0.3">
      <c r="A152" s="2">
        <v>42843</v>
      </c>
      <c r="B152" s="3" t="s">
        <v>14</v>
      </c>
      <c r="C152" s="3" t="s">
        <v>63</v>
      </c>
      <c r="D152" s="3" t="s">
        <v>19</v>
      </c>
      <c r="E152" s="3"/>
      <c r="F152" s="3"/>
      <c r="G152" s="3"/>
      <c r="H152" s="3" t="s">
        <v>283</v>
      </c>
      <c r="I152" s="3" t="s">
        <v>171</v>
      </c>
      <c r="J152" s="3" t="s">
        <v>284</v>
      </c>
      <c r="K152" s="3"/>
      <c r="L152" s="3" t="s">
        <v>137</v>
      </c>
      <c r="M152" s="2">
        <v>42843</v>
      </c>
      <c r="N152" s="3" t="s">
        <v>133</v>
      </c>
      <c r="O152" s="3" t="s">
        <v>134</v>
      </c>
      <c r="P152" s="13">
        <v>2441323</v>
      </c>
      <c r="Q152" s="3">
        <f t="shared" si="2"/>
        <v>0</v>
      </c>
    </row>
    <row r="153" spans="1:17" x14ac:dyDescent="0.3">
      <c r="A153" s="2">
        <v>42843</v>
      </c>
      <c r="B153" s="3" t="s">
        <v>25</v>
      </c>
      <c r="C153" s="3" t="s">
        <v>36</v>
      </c>
      <c r="D153" s="3" t="s">
        <v>27</v>
      </c>
      <c r="E153" s="3" t="s">
        <v>105</v>
      </c>
      <c r="F153" s="3"/>
      <c r="G153" s="3"/>
      <c r="H153" s="3" t="s">
        <v>176</v>
      </c>
      <c r="I153" s="3" t="s">
        <v>143</v>
      </c>
      <c r="J153" s="3" t="s">
        <v>211</v>
      </c>
      <c r="K153" s="3"/>
      <c r="L153" s="3" t="s">
        <v>137</v>
      </c>
      <c r="M153" s="2">
        <v>42843</v>
      </c>
      <c r="N153" s="3" t="s">
        <v>138</v>
      </c>
      <c r="O153" s="3" t="s">
        <v>134</v>
      </c>
      <c r="P153" s="13">
        <v>2441333</v>
      </c>
      <c r="Q153" s="3">
        <f t="shared" si="2"/>
        <v>0</v>
      </c>
    </row>
    <row r="154" spans="1:17" x14ac:dyDescent="0.3">
      <c r="A154" s="2">
        <v>42843</v>
      </c>
      <c r="B154" s="3" t="s">
        <v>14</v>
      </c>
      <c r="C154" s="3" t="s">
        <v>15</v>
      </c>
      <c r="D154" s="3" t="s">
        <v>19</v>
      </c>
      <c r="E154" s="3"/>
      <c r="F154" s="3"/>
      <c r="G154" s="3"/>
      <c r="H154" s="3" t="s">
        <v>150</v>
      </c>
      <c r="I154" s="3" t="s">
        <v>151</v>
      </c>
      <c r="J154" s="3">
        <v>33772</v>
      </c>
      <c r="K154" s="3" t="s">
        <v>131</v>
      </c>
      <c r="L154" s="3" t="s">
        <v>140</v>
      </c>
      <c r="M154" s="2">
        <v>42844</v>
      </c>
      <c r="N154" s="3" t="s">
        <v>149</v>
      </c>
      <c r="O154" s="3" t="s">
        <v>134</v>
      </c>
      <c r="P154" s="13">
        <v>2441409</v>
      </c>
      <c r="Q154" s="3">
        <f t="shared" si="2"/>
        <v>1</v>
      </c>
    </row>
    <row r="155" spans="1:17" x14ac:dyDescent="0.3">
      <c r="A155" s="2">
        <v>42843</v>
      </c>
      <c r="B155" s="3" t="s">
        <v>20</v>
      </c>
      <c r="C155" s="3" t="s">
        <v>93</v>
      </c>
      <c r="D155" s="3" t="s">
        <v>34</v>
      </c>
      <c r="E155" s="3"/>
      <c r="F155" s="3"/>
      <c r="G155" s="3" t="s">
        <v>254</v>
      </c>
      <c r="H155" s="3" t="s">
        <v>154</v>
      </c>
      <c r="I155" s="3" t="s">
        <v>148</v>
      </c>
      <c r="J155" s="3">
        <v>11967</v>
      </c>
      <c r="K155" s="3"/>
      <c r="L155" s="3" t="s">
        <v>140</v>
      </c>
      <c r="M155" s="2">
        <v>42843</v>
      </c>
      <c r="N155" s="3" t="s">
        <v>138</v>
      </c>
      <c r="O155" s="3" t="s">
        <v>134</v>
      </c>
      <c r="P155" s="13">
        <v>2441457</v>
      </c>
      <c r="Q155" s="3">
        <f t="shared" si="2"/>
        <v>0</v>
      </c>
    </row>
    <row r="156" spans="1:17" x14ac:dyDescent="0.3">
      <c r="A156" s="2">
        <v>42843</v>
      </c>
      <c r="B156" s="3" t="s">
        <v>29</v>
      </c>
      <c r="C156" s="3" t="s">
        <v>99</v>
      </c>
      <c r="D156" s="3" t="s">
        <v>100</v>
      </c>
      <c r="E156" s="3"/>
      <c r="F156" s="3"/>
      <c r="G156" s="3"/>
      <c r="H156" s="3" t="s">
        <v>308</v>
      </c>
      <c r="I156" s="3" t="s">
        <v>175</v>
      </c>
      <c r="J156" s="3">
        <v>98122</v>
      </c>
      <c r="K156" s="3"/>
      <c r="L156" s="3" t="s">
        <v>137</v>
      </c>
      <c r="M156" s="2">
        <v>42843</v>
      </c>
      <c r="N156" s="3" t="s">
        <v>149</v>
      </c>
      <c r="O156" s="3" t="s">
        <v>134</v>
      </c>
      <c r="P156" s="13">
        <v>2441469</v>
      </c>
      <c r="Q156" s="3">
        <f t="shared" si="2"/>
        <v>0</v>
      </c>
    </row>
    <row r="157" spans="1:17" x14ac:dyDescent="0.3">
      <c r="A157" s="2">
        <v>42845</v>
      </c>
      <c r="B157" s="3" t="s">
        <v>20</v>
      </c>
      <c r="C157" s="3" t="s">
        <v>35</v>
      </c>
      <c r="D157" s="3" t="s">
        <v>64</v>
      </c>
      <c r="E157" s="3"/>
      <c r="F157" s="3"/>
      <c r="G157" s="3"/>
      <c r="H157" s="3" t="s">
        <v>191</v>
      </c>
      <c r="I157" s="3" t="s">
        <v>143</v>
      </c>
      <c r="J157" s="3">
        <v>90220</v>
      </c>
      <c r="K157" s="3"/>
      <c r="L157" s="3" t="s">
        <v>137</v>
      </c>
      <c r="M157" s="2">
        <v>42845</v>
      </c>
      <c r="N157" s="3" t="s">
        <v>159</v>
      </c>
      <c r="O157" s="3" t="s">
        <v>134</v>
      </c>
      <c r="P157" s="13">
        <v>2441543</v>
      </c>
      <c r="Q157" s="3">
        <f t="shared" si="2"/>
        <v>0</v>
      </c>
    </row>
    <row r="158" spans="1:17" x14ac:dyDescent="0.3">
      <c r="A158" s="2">
        <v>42844</v>
      </c>
      <c r="B158" s="3" t="s">
        <v>12</v>
      </c>
      <c r="C158" s="3"/>
      <c r="D158" s="3" t="s">
        <v>17</v>
      </c>
      <c r="E158" s="3"/>
      <c r="F158" s="3"/>
      <c r="G158" s="3" t="s">
        <v>128</v>
      </c>
      <c r="H158" s="3" t="s">
        <v>144</v>
      </c>
      <c r="I158" s="3" t="s">
        <v>145</v>
      </c>
      <c r="J158" s="3">
        <v>70571</v>
      </c>
      <c r="K158" s="3"/>
      <c r="L158" s="3" t="s">
        <v>146</v>
      </c>
      <c r="M158" s="2">
        <v>42846</v>
      </c>
      <c r="N158" s="3" t="s">
        <v>138</v>
      </c>
      <c r="O158" s="3" t="s">
        <v>134</v>
      </c>
      <c r="P158" s="13">
        <v>2441726</v>
      </c>
      <c r="Q158" s="3">
        <f t="shared" si="2"/>
        <v>2</v>
      </c>
    </row>
    <row r="159" spans="1:17" x14ac:dyDescent="0.3">
      <c r="A159" s="2">
        <v>42844</v>
      </c>
      <c r="B159" s="3" t="s">
        <v>8</v>
      </c>
      <c r="C159" s="3" t="s">
        <v>9</v>
      </c>
      <c r="D159" s="3" t="s">
        <v>10</v>
      </c>
      <c r="E159" s="3" t="s">
        <v>11</v>
      </c>
      <c r="F159" s="3"/>
      <c r="G159" s="3"/>
      <c r="H159" s="3" t="s">
        <v>135</v>
      </c>
      <c r="I159" s="3" t="s">
        <v>136</v>
      </c>
      <c r="J159" s="3">
        <v>60643</v>
      </c>
      <c r="K159" s="3"/>
      <c r="L159" s="3" t="s">
        <v>137</v>
      </c>
      <c r="M159" s="2">
        <v>42845</v>
      </c>
      <c r="N159" s="3" t="s">
        <v>138</v>
      </c>
      <c r="O159" s="3" t="s">
        <v>134</v>
      </c>
      <c r="P159" s="13">
        <v>2441777</v>
      </c>
      <c r="Q159" s="3">
        <f t="shared" si="2"/>
        <v>1</v>
      </c>
    </row>
    <row r="160" spans="1:17" x14ac:dyDescent="0.3">
      <c r="A160" s="2">
        <v>42844</v>
      </c>
      <c r="B160" s="3" t="s">
        <v>14</v>
      </c>
      <c r="C160" s="3" t="s">
        <v>32</v>
      </c>
      <c r="D160" s="3" t="s">
        <v>19</v>
      </c>
      <c r="E160" s="3"/>
      <c r="F160" s="3"/>
      <c r="G160" s="3"/>
      <c r="H160" s="3" t="s">
        <v>278</v>
      </c>
      <c r="I160" s="3" t="s">
        <v>261</v>
      </c>
      <c r="J160" s="3" t="s">
        <v>279</v>
      </c>
      <c r="K160" s="3"/>
      <c r="L160" s="3" t="s">
        <v>137</v>
      </c>
      <c r="M160" s="2">
        <v>42844</v>
      </c>
      <c r="N160" s="3" t="s">
        <v>149</v>
      </c>
      <c r="O160" s="3" t="s">
        <v>134</v>
      </c>
      <c r="P160" s="13">
        <v>2441788</v>
      </c>
      <c r="Q160" s="3">
        <f t="shared" si="2"/>
        <v>0</v>
      </c>
    </row>
    <row r="161" spans="1:17" x14ac:dyDescent="0.3">
      <c r="A161" s="2">
        <v>42844</v>
      </c>
      <c r="B161" s="3" t="s">
        <v>20</v>
      </c>
      <c r="C161" s="3" t="s">
        <v>21</v>
      </c>
      <c r="D161" s="3" t="s">
        <v>22</v>
      </c>
      <c r="E161" s="3"/>
      <c r="F161" s="3"/>
      <c r="G161" s="3" t="s">
        <v>128</v>
      </c>
      <c r="H161" s="3" t="s">
        <v>174</v>
      </c>
      <c r="I161" s="3" t="s">
        <v>226</v>
      </c>
      <c r="J161" s="3">
        <v>48623</v>
      </c>
      <c r="K161" s="3"/>
      <c r="L161" s="3" t="s">
        <v>140</v>
      </c>
      <c r="M161" s="2">
        <v>42845</v>
      </c>
      <c r="N161" s="3" t="s">
        <v>138</v>
      </c>
      <c r="O161" s="3" t="s">
        <v>134</v>
      </c>
      <c r="P161" s="13">
        <v>2441825</v>
      </c>
      <c r="Q161" s="3">
        <f t="shared" si="2"/>
        <v>1</v>
      </c>
    </row>
    <row r="162" spans="1:17" x14ac:dyDescent="0.3">
      <c r="A162" s="2">
        <v>42844</v>
      </c>
      <c r="B162" s="3" t="s">
        <v>12</v>
      </c>
      <c r="C162" s="3"/>
      <c r="D162" s="3" t="s">
        <v>13</v>
      </c>
      <c r="E162" s="3"/>
      <c r="F162" s="3"/>
      <c r="G162" s="3" t="s">
        <v>128</v>
      </c>
      <c r="H162" s="3" t="s">
        <v>139</v>
      </c>
      <c r="I162" s="3" t="s">
        <v>136</v>
      </c>
      <c r="J162" s="3">
        <v>62025</v>
      </c>
      <c r="K162" s="3"/>
      <c r="L162" s="3" t="s">
        <v>140</v>
      </c>
      <c r="M162" s="2">
        <v>42845</v>
      </c>
      <c r="N162" s="3" t="s">
        <v>138</v>
      </c>
      <c r="O162" s="3" t="s">
        <v>134</v>
      </c>
      <c r="P162" s="13">
        <v>2441830</v>
      </c>
      <c r="Q162" s="3">
        <f t="shared" si="2"/>
        <v>1</v>
      </c>
    </row>
    <row r="163" spans="1:17" x14ac:dyDescent="0.3">
      <c r="A163" s="2">
        <v>42844</v>
      </c>
      <c r="B163" s="3" t="s">
        <v>12</v>
      </c>
      <c r="C163" s="3"/>
      <c r="D163" s="3" t="s">
        <v>78</v>
      </c>
      <c r="E163" s="3"/>
      <c r="F163" s="3"/>
      <c r="G163" s="3"/>
      <c r="H163" s="3" t="s">
        <v>193</v>
      </c>
      <c r="I163" s="3" t="s">
        <v>164</v>
      </c>
      <c r="J163" s="3" t="s">
        <v>245</v>
      </c>
      <c r="K163" s="3"/>
      <c r="L163" s="3" t="s">
        <v>137</v>
      </c>
      <c r="M163" s="2">
        <v>42844</v>
      </c>
      <c r="N163" s="3" t="s">
        <v>138</v>
      </c>
      <c r="O163" s="3" t="s">
        <v>134</v>
      </c>
      <c r="P163" s="13">
        <v>2441982</v>
      </c>
      <c r="Q163" s="3">
        <f t="shared" si="2"/>
        <v>0</v>
      </c>
    </row>
    <row r="164" spans="1:17" x14ac:dyDescent="0.3">
      <c r="A164" s="2">
        <v>42844</v>
      </c>
      <c r="B164" s="3" t="s">
        <v>20</v>
      </c>
      <c r="C164" s="3" t="s">
        <v>21</v>
      </c>
      <c r="D164" s="3" t="s">
        <v>22</v>
      </c>
      <c r="E164" s="3"/>
      <c r="F164" s="3"/>
      <c r="G164" s="3" t="s">
        <v>128</v>
      </c>
      <c r="H164" s="3" t="s">
        <v>163</v>
      </c>
      <c r="I164" s="3" t="s">
        <v>171</v>
      </c>
      <c r="J164" s="3" t="s">
        <v>249</v>
      </c>
      <c r="K164" s="3"/>
      <c r="L164" s="3" t="s">
        <v>137</v>
      </c>
      <c r="M164" s="2">
        <v>42844</v>
      </c>
      <c r="N164" s="3" t="s">
        <v>159</v>
      </c>
      <c r="O164" s="3" t="s">
        <v>134</v>
      </c>
      <c r="P164" s="13">
        <v>2442124</v>
      </c>
      <c r="Q164" s="3">
        <f t="shared" si="2"/>
        <v>0</v>
      </c>
    </row>
    <row r="165" spans="1:17" x14ac:dyDescent="0.3">
      <c r="A165" s="2">
        <v>42844</v>
      </c>
      <c r="B165" s="3" t="s">
        <v>14</v>
      </c>
      <c r="C165" s="3" t="s">
        <v>15</v>
      </c>
      <c r="D165" s="3" t="s">
        <v>19</v>
      </c>
      <c r="E165" s="3"/>
      <c r="F165" s="3"/>
      <c r="G165" s="3"/>
      <c r="H165" s="3" t="s">
        <v>191</v>
      </c>
      <c r="I165" s="3" t="s">
        <v>177</v>
      </c>
      <c r="J165" s="3">
        <v>19422</v>
      </c>
      <c r="K165" s="3"/>
      <c r="L165" s="3" t="s">
        <v>146</v>
      </c>
      <c r="M165" s="2">
        <v>42844</v>
      </c>
      <c r="N165" s="3" t="s">
        <v>138</v>
      </c>
      <c r="O165" s="3" t="s">
        <v>134</v>
      </c>
      <c r="P165" s="13">
        <v>2442270</v>
      </c>
      <c r="Q165" s="3">
        <f t="shared" si="2"/>
        <v>0</v>
      </c>
    </row>
    <row r="166" spans="1:17" x14ac:dyDescent="0.3">
      <c r="A166" s="2">
        <v>42844</v>
      </c>
      <c r="B166" s="3" t="s">
        <v>14</v>
      </c>
      <c r="C166" s="3" t="s">
        <v>32</v>
      </c>
      <c r="D166" s="3" t="s">
        <v>16</v>
      </c>
      <c r="E166" s="3"/>
      <c r="F166" s="3"/>
      <c r="G166" s="3"/>
      <c r="H166" s="3" t="s">
        <v>152</v>
      </c>
      <c r="I166" s="3" t="s">
        <v>143</v>
      </c>
      <c r="J166" s="3" t="s">
        <v>337</v>
      </c>
      <c r="K166" s="3"/>
      <c r="L166" s="3" t="s">
        <v>137</v>
      </c>
      <c r="M166" s="2">
        <v>42844</v>
      </c>
      <c r="N166" s="3" t="s">
        <v>149</v>
      </c>
      <c r="O166" s="3" t="s">
        <v>134</v>
      </c>
      <c r="P166" s="13">
        <v>2442478</v>
      </c>
      <c r="Q166" s="3">
        <f t="shared" si="2"/>
        <v>0</v>
      </c>
    </row>
    <row r="167" spans="1:17" x14ac:dyDescent="0.3">
      <c r="A167" s="2">
        <v>42844</v>
      </c>
      <c r="B167" s="3" t="s">
        <v>14</v>
      </c>
      <c r="C167" s="3" t="s">
        <v>23</v>
      </c>
      <c r="D167" s="3" t="s">
        <v>19</v>
      </c>
      <c r="E167" s="3"/>
      <c r="F167" s="3"/>
      <c r="G167" s="3" t="s">
        <v>128</v>
      </c>
      <c r="H167" s="3" t="s">
        <v>170</v>
      </c>
      <c r="I167" s="3" t="s">
        <v>171</v>
      </c>
      <c r="J167" s="3" t="s">
        <v>172</v>
      </c>
      <c r="K167" s="3"/>
      <c r="L167" s="3" t="s">
        <v>137</v>
      </c>
      <c r="M167" s="2">
        <v>42844</v>
      </c>
      <c r="N167" s="3" t="s">
        <v>138</v>
      </c>
      <c r="O167" s="3" t="s">
        <v>134</v>
      </c>
      <c r="P167" s="13">
        <v>2442733</v>
      </c>
      <c r="Q167" s="3">
        <f t="shared" si="2"/>
        <v>0</v>
      </c>
    </row>
    <row r="168" spans="1:17" x14ac:dyDescent="0.3">
      <c r="A168" s="2">
        <v>42844</v>
      </c>
      <c r="B168" s="3" t="s">
        <v>20</v>
      </c>
      <c r="C168" s="3" t="s">
        <v>21</v>
      </c>
      <c r="D168" s="3" t="s">
        <v>64</v>
      </c>
      <c r="E168" s="3"/>
      <c r="F168" s="3"/>
      <c r="G168" s="3" t="s">
        <v>128</v>
      </c>
      <c r="H168" s="3" t="s">
        <v>152</v>
      </c>
      <c r="I168" s="3" t="s">
        <v>216</v>
      </c>
      <c r="J168" s="3" t="s">
        <v>217</v>
      </c>
      <c r="K168" s="3" t="s">
        <v>131</v>
      </c>
      <c r="L168" s="3" t="s">
        <v>137</v>
      </c>
      <c r="M168" s="2">
        <v>42844</v>
      </c>
      <c r="N168" s="3" t="s">
        <v>138</v>
      </c>
      <c r="O168" s="3" t="s">
        <v>134</v>
      </c>
      <c r="P168" s="13">
        <v>2442864</v>
      </c>
      <c r="Q168" s="3">
        <f t="shared" si="2"/>
        <v>0</v>
      </c>
    </row>
    <row r="169" spans="1:17" x14ac:dyDescent="0.3">
      <c r="A169" s="2">
        <v>42844</v>
      </c>
      <c r="B169" s="3" t="s">
        <v>20</v>
      </c>
      <c r="C169" s="3" t="s">
        <v>35</v>
      </c>
      <c r="D169" s="3" t="s">
        <v>34</v>
      </c>
      <c r="E169" s="3"/>
      <c r="F169" s="3"/>
      <c r="G169" s="3"/>
      <c r="H169" s="3" t="s">
        <v>187</v>
      </c>
      <c r="I169" s="3" t="s">
        <v>227</v>
      </c>
      <c r="J169" s="3" t="s">
        <v>228</v>
      </c>
      <c r="K169" s="3" t="s">
        <v>131</v>
      </c>
      <c r="L169" s="3" t="s">
        <v>137</v>
      </c>
      <c r="M169" s="2">
        <v>42846</v>
      </c>
      <c r="N169" s="3" t="s">
        <v>138</v>
      </c>
      <c r="O169" s="3" t="s">
        <v>134</v>
      </c>
      <c r="P169" s="13">
        <v>2442917</v>
      </c>
      <c r="Q169" s="3">
        <f t="shared" si="2"/>
        <v>2</v>
      </c>
    </row>
    <row r="170" spans="1:17" x14ac:dyDescent="0.3">
      <c r="A170" s="2">
        <v>42844</v>
      </c>
      <c r="B170" s="3" t="s">
        <v>12</v>
      </c>
      <c r="C170" s="3"/>
      <c r="D170" s="3" t="s">
        <v>104</v>
      </c>
      <c r="E170" s="3"/>
      <c r="F170" s="3"/>
      <c r="G170" s="3" t="s">
        <v>128</v>
      </c>
      <c r="H170" s="3" t="s">
        <v>139</v>
      </c>
      <c r="I170" s="3" t="s">
        <v>192</v>
      </c>
      <c r="J170" s="3">
        <v>20009</v>
      </c>
      <c r="K170" s="3" t="s">
        <v>186</v>
      </c>
      <c r="L170" s="3" t="s">
        <v>137</v>
      </c>
      <c r="M170" s="2">
        <v>42844</v>
      </c>
      <c r="N170" s="3" t="s">
        <v>133</v>
      </c>
      <c r="O170" s="3" t="s">
        <v>134</v>
      </c>
      <c r="P170" s="13">
        <v>2443056</v>
      </c>
      <c r="Q170" s="3">
        <f t="shared" si="2"/>
        <v>0</v>
      </c>
    </row>
    <row r="171" spans="1:17" x14ac:dyDescent="0.3">
      <c r="A171" s="2">
        <v>42844</v>
      </c>
      <c r="B171" s="3" t="s">
        <v>12</v>
      </c>
      <c r="C171" s="3"/>
      <c r="D171" s="3" t="s">
        <v>13</v>
      </c>
      <c r="E171" s="3"/>
      <c r="F171" s="3"/>
      <c r="G171" s="3"/>
      <c r="H171" s="3" t="s">
        <v>218</v>
      </c>
      <c r="I171" s="3" t="s">
        <v>171</v>
      </c>
      <c r="J171" s="3">
        <v>30030</v>
      </c>
      <c r="K171" s="3"/>
      <c r="L171" s="3" t="s">
        <v>140</v>
      </c>
      <c r="M171" s="2">
        <v>42845</v>
      </c>
      <c r="N171" s="3" t="s">
        <v>159</v>
      </c>
      <c r="O171" s="3" t="s">
        <v>134</v>
      </c>
      <c r="P171" s="13">
        <v>2443256</v>
      </c>
      <c r="Q171" s="3">
        <f t="shared" si="2"/>
        <v>1</v>
      </c>
    </row>
    <row r="172" spans="1:17" x14ac:dyDescent="0.3">
      <c r="A172" s="2">
        <v>42844</v>
      </c>
      <c r="B172" s="3" t="s">
        <v>25</v>
      </c>
      <c r="C172" s="3" t="s">
        <v>36</v>
      </c>
      <c r="D172" s="3" t="s">
        <v>37</v>
      </c>
      <c r="E172" s="3" t="s">
        <v>38</v>
      </c>
      <c r="F172" s="3"/>
      <c r="G172" s="3"/>
      <c r="H172" s="3" t="s">
        <v>176</v>
      </c>
      <c r="I172" s="3" t="s">
        <v>177</v>
      </c>
      <c r="J172" s="3" t="s">
        <v>178</v>
      </c>
      <c r="K172" s="3"/>
      <c r="L172" s="3" t="s">
        <v>137</v>
      </c>
      <c r="M172" s="2">
        <v>42846</v>
      </c>
      <c r="N172" s="3" t="s">
        <v>138</v>
      </c>
      <c r="O172" s="3" t="s">
        <v>134</v>
      </c>
      <c r="P172" s="13">
        <v>2443388</v>
      </c>
      <c r="Q172" s="3">
        <f t="shared" si="2"/>
        <v>2</v>
      </c>
    </row>
    <row r="173" spans="1:17" x14ac:dyDescent="0.3">
      <c r="A173" s="2">
        <v>42844</v>
      </c>
      <c r="B173" s="3" t="s">
        <v>12</v>
      </c>
      <c r="C173" s="3"/>
      <c r="D173" s="3" t="s">
        <v>13</v>
      </c>
      <c r="E173" s="3"/>
      <c r="F173" s="3"/>
      <c r="G173" s="3" t="s">
        <v>128</v>
      </c>
      <c r="H173" s="3" t="s">
        <v>152</v>
      </c>
      <c r="I173" s="3" t="s">
        <v>143</v>
      </c>
      <c r="J173" s="3">
        <v>93550</v>
      </c>
      <c r="K173" s="3"/>
      <c r="L173" s="3" t="s">
        <v>137</v>
      </c>
      <c r="M173" s="2">
        <v>42844</v>
      </c>
      <c r="N173" s="3" t="s">
        <v>138</v>
      </c>
      <c r="O173" s="3" t="s">
        <v>134</v>
      </c>
      <c r="P173" s="13">
        <v>2443560</v>
      </c>
      <c r="Q173" s="3">
        <f t="shared" si="2"/>
        <v>0</v>
      </c>
    </row>
    <row r="174" spans="1:17" x14ac:dyDescent="0.3">
      <c r="A174" s="2">
        <v>42844</v>
      </c>
      <c r="B174" s="3" t="s">
        <v>12</v>
      </c>
      <c r="C174" s="3"/>
      <c r="D174" s="3" t="s">
        <v>66</v>
      </c>
      <c r="E174" s="3"/>
      <c r="F174" s="3"/>
      <c r="G174" s="3" t="s">
        <v>128</v>
      </c>
      <c r="H174" s="3" t="s">
        <v>139</v>
      </c>
      <c r="I174" s="3" t="s">
        <v>148</v>
      </c>
      <c r="J174" s="3">
        <v>10001</v>
      </c>
      <c r="K174" s="3"/>
      <c r="L174" s="3" t="s">
        <v>146</v>
      </c>
      <c r="M174" s="2">
        <v>42844</v>
      </c>
      <c r="N174" s="3" t="s">
        <v>138</v>
      </c>
      <c r="O174" s="3" t="s">
        <v>134</v>
      </c>
      <c r="P174" s="13">
        <v>2443667</v>
      </c>
      <c r="Q174" s="3">
        <f t="shared" si="2"/>
        <v>0</v>
      </c>
    </row>
    <row r="175" spans="1:17" x14ac:dyDescent="0.3">
      <c r="A175" s="2">
        <v>42845</v>
      </c>
      <c r="B175" s="3" t="s">
        <v>20</v>
      </c>
      <c r="C175" s="3" t="s">
        <v>21</v>
      </c>
      <c r="D175" s="3" t="s">
        <v>34</v>
      </c>
      <c r="E175" s="3"/>
      <c r="F175" s="3"/>
      <c r="G175" s="3"/>
      <c r="H175" s="3" t="s">
        <v>174</v>
      </c>
      <c r="I175" s="3" t="s">
        <v>164</v>
      </c>
      <c r="J175" s="3" t="s">
        <v>245</v>
      </c>
      <c r="K175" s="3"/>
      <c r="L175" s="3" t="s">
        <v>137</v>
      </c>
      <c r="M175" s="2">
        <v>42845</v>
      </c>
      <c r="N175" s="3" t="s">
        <v>149</v>
      </c>
      <c r="O175" s="3" t="s">
        <v>134</v>
      </c>
      <c r="P175" s="13">
        <v>2443787</v>
      </c>
      <c r="Q175" s="3">
        <f t="shared" si="2"/>
        <v>0</v>
      </c>
    </row>
    <row r="176" spans="1:17" x14ac:dyDescent="0.3">
      <c r="A176" s="2">
        <v>42845</v>
      </c>
      <c r="B176" s="3" t="s">
        <v>25</v>
      </c>
      <c r="C176" s="3" t="s">
        <v>36</v>
      </c>
      <c r="D176" s="3" t="s">
        <v>37</v>
      </c>
      <c r="E176" s="3" t="s">
        <v>59</v>
      </c>
      <c r="F176" s="3"/>
      <c r="G176" s="3"/>
      <c r="H176" s="3" t="s">
        <v>176</v>
      </c>
      <c r="I176" s="3" t="s">
        <v>180</v>
      </c>
      <c r="J176" s="3" t="s">
        <v>352</v>
      </c>
      <c r="K176" s="3"/>
      <c r="L176" s="3" t="s">
        <v>137</v>
      </c>
      <c r="M176" s="2">
        <v>42845</v>
      </c>
      <c r="N176" s="3" t="s">
        <v>138</v>
      </c>
      <c r="O176" s="3" t="s">
        <v>134</v>
      </c>
      <c r="P176" s="13">
        <v>2443963</v>
      </c>
      <c r="Q176" s="3">
        <f t="shared" si="2"/>
        <v>0</v>
      </c>
    </row>
    <row r="177" spans="1:17" x14ac:dyDescent="0.3">
      <c r="A177" s="2">
        <v>42845</v>
      </c>
      <c r="B177" s="3" t="s">
        <v>14</v>
      </c>
      <c r="C177" s="3" t="s">
        <v>69</v>
      </c>
      <c r="D177" s="3" t="s">
        <v>19</v>
      </c>
      <c r="E177" s="3"/>
      <c r="F177" s="3"/>
      <c r="G177" s="3"/>
      <c r="H177" s="3" t="s">
        <v>191</v>
      </c>
      <c r="I177" s="3" t="s">
        <v>136</v>
      </c>
      <c r="J177" s="3">
        <v>60130</v>
      </c>
      <c r="K177" s="3"/>
      <c r="L177" s="3" t="s">
        <v>140</v>
      </c>
      <c r="M177" s="2">
        <v>42846</v>
      </c>
      <c r="N177" s="3" t="s">
        <v>149</v>
      </c>
      <c r="O177" s="3" t="s">
        <v>134</v>
      </c>
      <c r="P177" s="13">
        <v>2444064</v>
      </c>
      <c r="Q177" s="3">
        <f t="shared" si="2"/>
        <v>1</v>
      </c>
    </row>
    <row r="178" spans="1:17" x14ac:dyDescent="0.3">
      <c r="A178" s="2">
        <v>42845</v>
      </c>
      <c r="B178" s="3" t="s">
        <v>39</v>
      </c>
      <c r="C178" s="3" t="s">
        <v>42</v>
      </c>
      <c r="D178" s="3" t="s">
        <v>65</v>
      </c>
      <c r="E178" s="3"/>
      <c r="F178" s="3"/>
      <c r="G178" s="3" t="s">
        <v>128</v>
      </c>
      <c r="H178" s="3" t="s">
        <v>240</v>
      </c>
      <c r="I178" s="3" t="s">
        <v>130</v>
      </c>
      <c r="J178" s="3" t="s">
        <v>246</v>
      </c>
      <c r="K178" s="3" t="s">
        <v>186</v>
      </c>
      <c r="L178" s="3" t="s">
        <v>137</v>
      </c>
      <c r="M178" s="2">
        <v>42846</v>
      </c>
      <c r="N178" s="3" t="s">
        <v>133</v>
      </c>
      <c r="O178" s="3" t="s">
        <v>134</v>
      </c>
      <c r="P178" s="13">
        <v>2444123</v>
      </c>
      <c r="Q178" s="3">
        <f t="shared" si="2"/>
        <v>1</v>
      </c>
    </row>
    <row r="179" spans="1:17" x14ac:dyDescent="0.3">
      <c r="A179" s="2">
        <v>42845</v>
      </c>
      <c r="B179" s="3" t="s">
        <v>8</v>
      </c>
      <c r="C179" s="3" t="s">
        <v>86</v>
      </c>
      <c r="D179" s="3" t="s">
        <v>76</v>
      </c>
      <c r="E179" s="3" t="s">
        <v>83</v>
      </c>
      <c r="F179" s="3"/>
      <c r="G179" s="3"/>
      <c r="H179" s="3" t="s">
        <v>264</v>
      </c>
      <c r="I179" s="3" t="s">
        <v>130</v>
      </c>
      <c r="J179" s="3" t="s">
        <v>246</v>
      </c>
      <c r="K179" s="3"/>
      <c r="L179" s="3" t="s">
        <v>137</v>
      </c>
      <c r="M179" s="2">
        <v>42845</v>
      </c>
      <c r="N179" s="3" t="s">
        <v>138</v>
      </c>
      <c r="O179" s="3" t="s">
        <v>134</v>
      </c>
      <c r="P179" s="13">
        <v>2444285</v>
      </c>
      <c r="Q179" s="3">
        <f t="shared" si="2"/>
        <v>0</v>
      </c>
    </row>
    <row r="180" spans="1:17" x14ac:dyDescent="0.3">
      <c r="A180" s="2">
        <v>42845</v>
      </c>
      <c r="B180" s="3" t="s">
        <v>8</v>
      </c>
      <c r="C180" s="3" t="s">
        <v>54</v>
      </c>
      <c r="D180" s="3" t="s">
        <v>76</v>
      </c>
      <c r="E180" s="3" t="s">
        <v>83</v>
      </c>
      <c r="F180" s="3"/>
      <c r="G180" s="3"/>
      <c r="H180" s="3" t="s">
        <v>197</v>
      </c>
      <c r="I180" s="3" t="s">
        <v>241</v>
      </c>
      <c r="J180" s="3">
        <v>89156</v>
      </c>
      <c r="K180" s="3"/>
      <c r="L180" s="3" t="s">
        <v>137</v>
      </c>
      <c r="M180" s="2">
        <v>42846</v>
      </c>
      <c r="N180" s="3" t="s">
        <v>138</v>
      </c>
      <c r="O180" s="3" t="s">
        <v>134</v>
      </c>
      <c r="P180" s="13">
        <v>2444349</v>
      </c>
      <c r="Q180" s="3">
        <f t="shared" si="2"/>
        <v>1</v>
      </c>
    </row>
    <row r="181" spans="1:17" x14ac:dyDescent="0.3">
      <c r="A181" s="2">
        <v>42845</v>
      </c>
      <c r="B181" s="3" t="s">
        <v>29</v>
      </c>
      <c r="C181" s="3" t="s">
        <v>30</v>
      </c>
      <c r="D181" s="3" t="s">
        <v>31</v>
      </c>
      <c r="E181" s="3"/>
      <c r="F181" s="3"/>
      <c r="G181" s="3" t="s">
        <v>128</v>
      </c>
      <c r="H181" s="3" t="s">
        <v>163</v>
      </c>
      <c r="I181" s="3" t="s">
        <v>164</v>
      </c>
      <c r="J181" s="3" t="s">
        <v>165</v>
      </c>
      <c r="K181" s="3"/>
      <c r="L181" s="3" t="s">
        <v>137</v>
      </c>
      <c r="M181" s="2">
        <v>42845</v>
      </c>
      <c r="N181" s="3" t="s">
        <v>138</v>
      </c>
      <c r="O181" s="3" t="s">
        <v>134</v>
      </c>
      <c r="P181" s="13">
        <v>2444452</v>
      </c>
      <c r="Q181" s="3">
        <f t="shared" si="2"/>
        <v>0</v>
      </c>
    </row>
    <row r="182" spans="1:17" x14ac:dyDescent="0.3">
      <c r="A182" s="2">
        <v>42845</v>
      </c>
      <c r="B182" s="3" t="s">
        <v>20</v>
      </c>
      <c r="C182" s="3" t="s">
        <v>21</v>
      </c>
      <c r="D182" s="3" t="s">
        <v>64</v>
      </c>
      <c r="E182" s="3"/>
      <c r="F182" s="3"/>
      <c r="G182" s="3" t="s">
        <v>141</v>
      </c>
      <c r="H182" s="3" t="s">
        <v>187</v>
      </c>
      <c r="I182" s="3" t="s">
        <v>241</v>
      </c>
      <c r="J182" s="3" t="s">
        <v>242</v>
      </c>
      <c r="K182" s="3"/>
      <c r="L182" s="3" t="s">
        <v>137</v>
      </c>
      <c r="M182" s="2">
        <v>42846</v>
      </c>
      <c r="N182" s="3" t="s">
        <v>138</v>
      </c>
      <c r="O182" s="3" t="s">
        <v>134</v>
      </c>
      <c r="P182" s="13">
        <v>2444547</v>
      </c>
      <c r="Q182" s="3">
        <f t="shared" si="2"/>
        <v>1</v>
      </c>
    </row>
    <row r="183" spans="1:17" x14ac:dyDescent="0.3">
      <c r="A183" s="2">
        <v>42846</v>
      </c>
      <c r="B183" s="3" t="s">
        <v>8</v>
      </c>
      <c r="C183" s="3" t="s">
        <v>12</v>
      </c>
      <c r="D183" s="3" t="s">
        <v>10</v>
      </c>
      <c r="E183" s="3" t="s">
        <v>18</v>
      </c>
      <c r="F183" s="3"/>
      <c r="G183" s="3"/>
      <c r="H183" s="3" t="s">
        <v>243</v>
      </c>
      <c r="I183" s="3" t="s">
        <v>130</v>
      </c>
      <c r="J183" s="3" t="s">
        <v>244</v>
      </c>
      <c r="K183" s="3"/>
      <c r="L183" s="3" t="s">
        <v>137</v>
      </c>
      <c r="M183" s="2">
        <v>42846</v>
      </c>
      <c r="N183" s="3" t="s">
        <v>138</v>
      </c>
      <c r="O183" s="3" t="s">
        <v>134</v>
      </c>
      <c r="P183" s="13">
        <v>2444577</v>
      </c>
      <c r="Q183" s="3">
        <f t="shared" si="2"/>
        <v>0</v>
      </c>
    </row>
    <row r="184" spans="1:17" x14ac:dyDescent="0.3">
      <c r="A184" s="2">
        <v>42846</v>
      </c>
      <c r="B184" s="3" t="s">
        <v>14</v>
      </c>
      <c r="C184" s="3" t="s">
        <v>23</v>
      </c>
      <c r="D184" s="3" t="s">
        <v>19</v>
      </c>
      <c r="E184" s="3"/>
      <c r="F184" s="3"/>
      <c r="G184" s="3"/>
      <c r="H184" s="3" t="s">
        <v>205</v>
      </c>
      <c r="I184" s="3" t="s">
        <v>206</v>
      </c>
      <c r="J184" s="3" t="s">
        <v>207</v>
      </c>
      <c r="K184" s="3" t="s">
        <v>131</v>
      </c>
      <c r="L184" s="3" t="s">
        <v>137</v>
      </c>
      <c r="M184" s="2">
        <v>42846</v>
      </c>
      <c r="N184" s="3" t="s">
        <v>138</v>
      </c>
      <c r="O184" s="3" t="s">
        <v>134</v>
      </c>
      <c r="P184" s="13">
        <v>2444582</v>
      </c>
      <c r="Q184" s="3">
        <f t="shared" si="2"/>
        <v>0</v>
      </c>
    </row>
    <row r="185" spans="1:17" x14ac:dyDescent="0.3">
      <c r="A185" s="2">
        <v>42845</v>
      </c>
      <c r="B185" s="3" t="s">
        <v>20</v>
      </c>
      <c r="C185" s="3" t="s">
        <v>21</v>
      </c>
      <c r="D185" s="3" t="s">
        <v>64</v>
      </c>
      <c r="E185" s="3"/>
      <c r="F185" s="3"/>
      <c r="G185" s="3" t="s">
        <v>141</v>
      </c>
      <c r="H185" s="3" t="s">
        <v>333</v>
      </c>
      <c r="I185" s="3" t="s">
        <v>143</v>
      </c>
      <c r="J185" s="3">
        <v>92694</v>
      </c>
      <c r="K185" s="3"/>
      <c r="L185" s="3" t="s">
        <v>137</v>
      </c>
      <c r="M185" s="2">
        <v>42845</v>
      </c>
      <c r="N185" s="3" t="s">
        <v>138</v>
      </c>
      <c r="O185" s="3" t="s">
        <v>134</v>
      </c>
      <c r="P185" s="13">
        <v>2444609</v>
      </c>
      <c r="Q185" s="3">
        <f t="shared" si="2"/>
        <v>0</v>
      </c>
    </row>
    <row r="186" spans="1:17" x14ac:dyDescent="0.3">
      <c r="A186" s="2">
        <v>42845</v>
      </c>
      <c r="B186" s="3" t="s">
        <v>39</v>
      </c>
      <c r="C186" s="3" t="s">
        <v>42</v>
      </c>
      <c r="D186" s="3" t="s">
        <v>41</v>
      </c>
      <c r="E186" s="3"/>
      <c r="F186" s="3"/>
      <c r="G186" s="3"/>
      <c r="H186" s="3" t="s">
        <v>174</v>
      </c>
      <c r="I186" s="3" t="s">
        <v>180</v>
      </c>
      <c r="J186" s="3" t="s">
        <v>347</v>
      </c>
      <c r="K186" s="3"/>
      <c r="L186" s="3" t="s">
        <v>137</v>
      </c>
      <c r="M186" s="2">
        <v>42846</v>
      </c>
      <c r="N186" s="3" t="s">
        <v>149</v>
      </c>
      <c r="O186" s="3" t="s">
        <v>134</v>
      </c>
      <c r="P186" s="13">
        <v>2444625</v>
      </c>
      <c r="Q186" s="3">
        <f t="shared" si="2"/>
        <v>1</v>
      </c>
    </row>
    <row r="187" spans="1:17" x14ac:dyDescent="0.3">
      <c r="A187" s="2">
        <v>42845</v>
      </c>
      <c r="B187" s="3" t="s">
        <v>39</v>
      </c>
      <c r="C187" s="3" t="s">
        <v>42</v>
      </c>
      <c r="D187" s="3" t="s">
        <v>41</v>
      </c>
      <c r="E187" s="3"/>
      <c r="F187" s="3"/>
      <c r="G187" s="3"/>
      <c r="H187" s="3" t="s">
        <v>182</v>
      </c>
      <c r="I187" s="3" t="s">
        <v>130</v>
      </c>
      <c r="J187" s="3">
        <v>78840</v>
      </c>
      <c r="K187" s="3"/>
      <c r="L187" s="3" t="s">
        <v>137</v>
      </c>
      <c r="M187" s="2">
        <v>42846</v>
      </c>
      <c r="N187" s="3" t="s">
        <v>138</v>
      </c>
      <c r="O187" s="3" t="s">
        <v>134</v>
      </c>
      <c r="P187" s="13">
        <v>2444661</v>
      </c>
      <c r="Q187" s="3">
        <f t="shared" si="2"/>
        <v>1</v>
      </c>
    </row>
    <row r="188" spans="1:17" x14ac:dyDescent="0.3">
      <c r="A188" s="2">
        <v>42846</v>
      </c>
      <c r="B188" s="3" t="s">
        <v>8</v>
      </c>
      <c r="C188" s="3" t="s">
        <v>54</v>
      </c>
      <c r="D188" s="3" t="s">
        <v>10</v>
      </c>
      <c r="E188" s="3" t="s">
        <v>55</v>
      </c>
      <c r="F188" s="3"/>
      <c r="G188" s="3"/>
      <c r="H188" s="3" t="s">
        <v>197</v>
      </c>
      <c r="I188" s="3" t="s">
        <v>130</v>
      </c>
      <c r="J188" s="3" t="s">
        <v>198</v>
      </c>
      <c r="K188" s="3"/>
      <c r="L188" s="3" t="s">
        <v>137</v>
      </c>
      <c r="M188" s="2">
        <v>42846</v>
      </c>
      <c r="N188" s="3" t="s">
        <v>138</v>
      </c>
      <c r="O188" s="3" t="s">
        <v>134</v>
      </c>
      <c r="P188" s="13">
        <v>2444768</v>
      </c>
      <c r="Q188" s="3">
        <f t="shared" si="2"/>
        <v>0</v>
      </c>
    </row>
    <row r="189" spans="1:17" x14ac:dyDescent="0.3">
      <c r="A189" s="2">
        <v>42845</v>
      </c>
      <c r="B189" s="3" t="s">
        <v>8</v>
      </c>
      <c r="C189" s="3" t="s">
        <v>12</v>
      </c>
      <c r="D189" s="3" t="s">
        <v>76</v>
      </c>
      <c r="E189" s="3" t="s">
        <v>77</v>
      </c>
      <c r="F189" s="3"/>
      <c r="G189" s="3" t="s">
        <v>128</v>
      </c>
      <c r="H189" s="3" t="s">
        <v>240</v>
      </c>
      <c r="I189" s="3" t="s">
        <v>175</v>
      </c>
      <c r="J189" s="3">
        <v>25302</v>
      </c>
      <c r="K189" s="3" t="s">
        <v>230</v>
      </c>
      <c r="L189" s="3" t="s">
        <v>132</v>
      </c>
      <c r="M189" s="2">
        <v>42846</v>
      </c>
      <c r="N189" s="3" t="s">
        <v>159</v>
      </c>
      <c r="O189" s="3" t="s">
        <v>134</v>
      </c>
      <c r="P189" s="13">
        <v>2444790</v>
      </c>
      <c r="Q189" s="3">
        <f t="shared" si="2"/>
        <v>1</v>
      </c>
    </row>
    <row r="190" spans="1:17" x14ac:dyDescent="0.3">
      <c r="A190" s="2">
        <v>42845</v>
      </c>
      <c r="B190" s="3" t="s">
        <v>12</v>
      </c>
      <c r="C190" s="3"/>
      <c r="D190" s="3" t="s">
        <v>45</v>
      </c>
      <c r="E190" s="3"/>
      <c r="F190" s="3"/>
      <c r="G190" s="3" t="s">
        <v>254</v>
      </c>
      <c r="H190" s="3" t="s">
        <v>154</v>
      </c>
      <c r="I190" s="3" t="s">
        <v>130</v>
      </c>
      <c r="J190" s="3">
        <v>78727</v>
      </c>
      <c r="K190" s="3"/>
      <c r="L190" s="3" t="s">
        <v>137</v>
      </c>
      <c r="M190" s="2">
        <v>42845</v>
      </c>
      <c r="N190" s="3" t="s">
        <v>159</v>
      </c>
      <c r="O190" s="3" t="s">
        <v>134</v>
      </c>
      <c r="P190" s="13">
        <v>2444855</v>
      </c>
      <c r="Q190" s="3">
        <f t="shared" si="2"/>
        <v>0</v>
      </c>
    </row>
    <row r="191" spans="1:17" x14ac:dyDescent="0.3">
      <c r="A191" s="2">
        <v>42845</v>
      </c>
      <c r="B191" s="3" t="s">
        <v>8</v>
      </c>
      <c r="C191" s="3" t="s">
        <v>86</v>
      </c>
      <c r="D191" s="3" t="s">
        <v>10</v>
      </c>
      <c r="E191" s="3" t="s">
        <v>18</v>
      </c>
      <c r="F191" s="3"/>
      <c r="G191" s="3"/>
      <c r="H191" s="3" t="s">
        <v>295</v>
      </c>
      <c r="I191" s="3" t="s">
        <v>151</v>
      </c>
      <c r="J191" s="3" t="s">
        <v>296</v>
      </c>
      <c r="K191" s="3"/>
      <c r="L191" s="3" t="s">
        <v>137</v>
      </c>
      <c r="M191" s="2">
        <v>42845</v>
      </c>
      <c r="N191" s="3" t="s">
        <v>138</v>
      </c>
      <c r="O191" s="3" t="s">
        <v>134</v>
      </c>
      <c r="P191" s="13">
        <v>2444869</v>
      </c>
      <c r="Q191" s="3">
        <f t="shared" si="2"/>
        <v>0</v>
      </c>
    </row>
    <row r="192" spans="1:17" x14ac:dyDescent="0.3">
      <c r="A192" s="2">
        <v>42846</v>
      </c>
      <c r="B192" s="3" t="s">
        <v>46</v>
      </c>
      <c r="C192" s="3" t="s">
        <v>47</v>
      </c>
      <c r="D192" s="3" t="s">
        <v>48</v>
      </c>
      <c r="E192" s="3"/>
      <c r="F192" s="3"/>
      <c r="G192" s="3" t="s">
        <v>141</v>
      </c>
      <c r="H192" s="3" t="s">
        <v>187</v>
      </c>
      <c r="I192" s="3" t="s">
        <v>188</v>
      </c>
      <c r="J192" s="3" t="s">
        <v>189</v>
      </c>
      <c r="K192" s="3"/>
      <c r="L192" s="3" t="s">
        <v>137</v>
      </c>
      <c r="M192" s="2">
        <v>42846</v>
      </c>
      <c r="N192" s="3" t="s">
        <v>138</v>
      </c>
      <c r="O192" s="3" t="s">
        <v>134</v>
      </c>
      <c r="P192" s="13">
        <v>2445609</v>
      </c>
      <c r="Q192" s="3">
        <f t="shared" si="2"/>
        <v>0</v>
      </c>
    </row>
    <row r="193" spans="1:17" x14ac:dyDescent="0.3">
      <c r="A193" s="2">
        <v>42845</v>
      </c>
      <c r="B193" s="3" t="s">
        <v>8</v>
      </c>
      <c r="C193" s="3" t="s">
        <v>67</v>
      </c>
      <c r="D193" s="3" t="s">
        <v>87</v>
      </c>
      <c r="E193" s="3" t="s">
        <v>110</v>
      </c>
      <c r="F193" s="3"/>
      <c r="G193" s="3"/>
      <c r="H193" s="3" t="s">
        <v>295</v>
      </c>
      <c r="I193" s="3" t="s">
        <v>271</v>
      </c>
      <c r="J193" s="3">
        <v>1720</v>
      </c>
      <c r="K193" s="3"/>
      <c r="L193" s="3" t="s">
        <v>137</v>
      </c>
      <c r="M193" s="2">
        <v>42845</v>
      </c>
      <c r="N193" s="3" t="s">
        <v>138</v>
      </c>
      <c r="O193" s="3" t="s">
        <v>134</v>
      </c>
      <c r="P193" s="13">
        <v>2445786</v>
      </c>
      <c r="Q193" s="3">
        <f t="shared" si="2"/>
        <v>0</v>
      </c>
    </row>
    <row r="194" spans="1:17" x14ac:dyDescent="0.3">
      <c r="A194" s="2">
        <v>42846</v>
      </c>
      <c r="B194" s="3" t="s">
        <v>8</v>
      </c>
      <c r="C194" s="3" t="s">
        <v>67</v>
      </c>
      <c r="D194" s="3" t="s">
        <v>10</v>
      </c>
      <c r="E194" s="3" t="s">
        <v>55</v>
      </c>
      <c r="F194" s="3"/>
      <c r="G194" s="3"/>
      <c r="H194" s="3" t="s">
        <v>298</v>
      </c>
      <c r="I194" s="3" t="s">
        <v>151</v>
      </c>
      <c r="J194" s="3" t="s">
        <v>299</v>
      </c>
      <c r="K194" s="3"/>
      <c r="L194" s="3" t="s">
        <v>137</v>
      </c>
      <c r="M194" s="2">
        <v>42846</v>
      </c>
      <c r="N194" s="3" t="s">
        <v>138</v>
      </c>
      <c r="O194" s="3" t="s">
        <v>134</v>
      </c>
      <c r="P194" s="13">
        <v>2445935</v>
      </c>
      <c r="Q194" s="3">
        <f t="shared" si="2"/>
        <v>0</v>
      </c>
    </row>
    <row r="195" spans="1:17" x14ac:dyDescent="0.3">
      <c r="A195" s="2">
        <v>42846</v>
      </c>
      <c r="B195" s="3" t="s">
        <v>5</v>
      </c>
      <c r="C195" s="3"/>
      <c r="D195" s="3" t="s">
        <v>6</v>
      </c>
      <c r="E195" s="3" t="s">
        <v>7</v>
      </c>
      <c r="F195" s="3"/>
      <c r="G195" s="3"/>
      <c r="H195" s="3" t="s">
        <v>276</v>
      </c>
      <c r="I195" s="3" t="s">
        <v>226</v>
      </c>
      <c r="J195" s="3">
        <v>48224</v>
      </c>
      <c r="K195" s="3"/>
      <c r="L195" s="3" t="s">
        <v>137</v>
      </c>
      <c r="M195" s="2">
        <v>42846</v>
      </c>
      <c r="N195" s="3" t="s">
        <v>149</v>
      </c>
      <c r="O195" s="3" t="s">
        <v>134</v>
      </c>
      <c r="P195" s="13">
        <v>2446495</v>
      </c>
      <c r="Q195" s="3">
        <f t="shared" ref="Q195:Q201" si="3">M195-A195</f>
        <v>0</v>
      </c>
    </row>
    <row r="196" spans="1:17" x14ac:dyDescent="0.3">
      <c r="A196" s="2">
        <v>42846</v>
      </c>
      <c r="B196" s="3" t="s">
        <v>14</v>
      </c>
      <c r="C196" s="3" t="s">
        <v>69</v>
      </c>
      <c r="D196" s="3" t="s">
        <v>19</v>
      </c>
      <c r="E196" s="3"/>
      <c r="F196" s="3"/>
      <c r="G196" s="3" t="s">
        <v>128</v>
      </c>
      <c r="H196" s="3" t="s">
        <v>152</v>
      </c>
      <c r="I196" s="3" t="s">
        <v>291</v>
      </c>
      <c r="J196" s="3">
        <v>55439</v>
      </c>
      <c r="K196" s="3" t="s">
        <v>131</v>
      </c>
      <c r="L196" s="3" t="s">
        <v>146</v>
      </c>
      <c r="M196" s="2">
        <v>42850</v>
      </c>
      <c r="N196" s="3" t="s">
        <v>138</v>
      </c>
      <c r="O196" s="3" t="s">
        <v>134</v>
      </c>
      <c r="P196" s="13">
        <v>2446753</v>
      </c>
      <c r="Q196" s="3">
        <f t="shared" si="3"/>
        <v>4</v>
      </c>
    </row>
    <row r="197" spans="1:17" x14ac:dyDescent="0.3">
      <c r="A197" s="2">
        <v>42846</v>
      </c>
      <c r="B197" s="3" t="s">
        <v>8</v>
      </c>
      <c r="C197" s="3" t="s">
        <v>9</v>
      </c>
      <c r="D197" s="3" t="s">
        <v>87</v>
      </c>
      <c r="E197" s="3" t="s">
        <v>88</v>
      </c>
      <c r="F197" s="3"/>
      <c r="G197" s="3"/>
      <c r="H197" s="3" t="s">
        <v>265</v>
      </c>
      <c r="I197" s="3" t="s">
        <v>194</v>
      </c>
      <c r="J197" s="3" t="s">
        <v>266</v>
      </c>
      <c r="K197" s="3"/>
      <c r="L197" s="3" t="s">
        <v>137</v>
      </c>
      <c r="M197" s="2">
        <v>42846</v>
      </c>
      <c r="N197" s="3" t="s">
        <v>138</v>
      </c>
      <c r="O197" s="3" t="s">
        <v>134</v>
      </c>
      <c r="P197" s="13">
        <v>2446884</v>
      </c>
      <c r="Q197" s="3">
        <f t="shared" si="3"/>
        <v>0</v>
      </c>
    </row>
    <row r="198" spans="1:17" x14ac:dyDescent="0.3">
      <c r="A198" s="2">
        <v>42846</v>
      </c>
      <c r="B198" s="3" t="s">
        <v>5</v>
      </c>
      <c r="C198" s="3"/>
      <c r="D198" s="3" t="s">
        <v>6</v>
      </c>
      <c r="E198" s="3" t="s">
        <v>81</v>
      </c>
      <c r="F198" s="3"/>
      <c r="G198" s="3"/>
      <c r="H198" s="3" t="s">
        <v>129</v>
      </c>
      <c r="I198" s="3" t="s">
        <v>151</v>
      </c>
      <c r="J198" s="3">
        <v>34201</v>
      </c>
      <c r="K198" s="3"/>
      <c r="L198" s="3" t="s">
        <v>137</v>
      </c>
      <c r="M198" s="2">
        <v>42851</v>
      </c>
      <c r="N198" s="3" t="s">
        <v>149</v>
      </c>
      <c r="O198" s="3" t="s">
        <v>134</v>
      </c>
      <c r="P198" s="13">
        <v>2446912</v>
      </c>
      <c r="Q198" s="3">
        <f t="shared" si="3"/>
        <v>5</v>
      </c>
    </row>
    <row r="199" spans="1:17" x14ac:dyDescent="0.3">
      <c r="A199" s="2">
        <v>42846</v>
      </c>
      <c r="B199" s="3" t="s">
        <v>20</v>
      </c>
      <c r="C199" s="3" t="s">
        <v>21</v>
      </c>
      <c r="D199" s="3" t="s">
        <v>60</v>
      </c>
      <c r="E199" s="3"/>
      <c r="F199" s="3"/>
      <c r="G199" s="3" t="s">
        <v>128</v>
      </c>
      <c r="H199" s="3" t="s">
        <v>285</v>
      </c>
      <c r="I199" s="3" t="s">
        <v>222</v>
      </c>
      <c r="J199" s="3" t="s">
        <v>286</v>
      </c>
      <c r="K199" s="3"/>
      <c r="L199" s="3" t="s">
        <v>137</v>
      </c>
      <c r="M199" s="2">
        <v>42846</v>
      </c>
      <c r="N199" s="3" t="s">
        <v>159</v>
      </c>
      <c r="O199" s="3" t="s">
        <v>134</v>
      </c>
      <c r="P199" s="13">
        <v>2447348</v>
      </c>
      <c r="Q199" s="3">
        <f t="shared" si="3"/>
        <v>0</v>
      </c>
    </row>
    <row r="200" spans="1:17" x14ac:dyDescent="0.3">
      <c r="A200" s="2">
        <v>42846</v>
      </c>
      <c r="B200" s="3" t="s">
        <v>20</v>
      </c>
      <c r="C200" s="3" t="s">
        <v>21</v>
      </c>
      <c r="D200" s="3" t="s">
        <v>60</v>
      </c>
      <c r="E200" s="3"/>
      <c r="F200" s="3"/>
      <c r="G200" s="3" t="s">
        <v>128</v>
      </c>
      <c r="H200" s="3" t="s">
        <v>174</v>
      </c>
      <c r="I200" s="3" t="s">
        <v>192</v>
      </c>
      <c r="J200" s="3" t="s">
        <v>229</v>
      </c>
      <c r="K200" s="3"/>
      <c r="L200" s="3" t="s">
        <v>137</v>
      </c>
      <c r="M200" s="2">
        <v>42846</v>
      </c>
      <c r="N200" s="3" t="s">
        <v>138</v>
      </c>
      <c r="O200" s="3" t="s">
        <v>134</v>
      </c>
      <c r="P200" s="13">
        <v>2447351</v>
      </c>
      <c r="Q200" s="3">
        <f t="shared" si="3"/>
        <v>0</v>
      </c>
    </row>
    <row r="201" spans="1:17" x14ac:dyDescent="0.3">
      <c r="A201" s="2">
        <v>42847</v>
      </c>
      <c r="B201" s="3" t="s">
        <v>20</v>
      </c>
      <c r="C201" s="3" t="s">
        <v>33</v>
      </c>
      <c r="D201" s="3" t="s">
        <v>34</v>
      </c>
      <c r="E201" s="3"/>
      <c r="F201" s="3"/>
      <c r="G201" s="3" t="s">
        <v>128</v>
      </c>
      <c r="H201" s="3" t="s">
        <v>144</v>
      </c>
      <c r="I201" s="3" t="s">
        <v>136</v>
      </c>
      <c r="J201" s="3" t="s">
        <v>169</v>
      </c>
      <c r="K201" s="3"/>
      <c r="L201" s="3" t="s">
        <v>137</v>
      </c>
      <c r="M201" s="2">
        <v>42847</v>
      </c>
      <c r="N201" s="3" t="s">
        <v>138</v>
      </c>
      <c r="O201" s="3" t="s">
        <v>134</v>
      </c>
      <c r="P201" s="13">
        <v>2447675</v>
      </c>
      <c r="Q201" s="3">
        <f t="shared" si="3"/>
        <v>0</v>
      </c>
    </row>
    <row r="203" spans="1:17" x14ac:dyDescent="0.3">
      <c r="A203" s="8"/>
      <c r="B203" s="8"/>
      <c r="C203" s="12"/>
    </row>
    <row r="204" spans="1:17" x14ac:dyDescent="0.3">
      <c r="A204" s="8"/>
      <c r="B204" s="8"/>
      <c r="C204" s="8"/>
    </row>
    <row r="205" spans="1:17" x14ac:dyDescent="0.3">
      <c r="A205" s="8"/>
      <c r="B205" s="8"/>
      <c r="C205" s="8"/>
    </row>
    <row r="206" spans="1:17" x14ac:dyDescent="0.3">
      <c r="A206" s="8"/>
      <c r="B206" s="8"/>
      <c r="C206" s="8"/>
    </row>
    <row r="207" spans="1:17" x14ac:dyDescent="0.3">
      <c r="A207" s="8"/>
      <c r="B207" s="8"/>
      <c r="C207" s="8"/>
    </row>
  </sheetData>
  <autoFilter ref="A1:A202" xr:uid="{00000000-0001-0000-0000-000000000000}"/>
  <sortState xmlns:xlrd2="http://schemas.microsoft.com/office/spreadsheetml/2017/richdata2" ref="A2:Q201">
    <sortCondition ref="P1:P201"/>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1F578-A5FA-4BC0-A3A5-38340AA21C08}">
  <sheetPr>
    <tabColor theme="7" tint="0.59999389629810485"/>
  </sheetPr>
  <dimension ref="A1:F208"/>
  <sheetViews>
    <sheetView tabSelected="1" workbookViewId="0">
      <selection activeCell="C2" sqref="C2"/>
    </sheetView>
  </sheetViews>
  <sheetFormatPr defaultRowHeight="14.4" x14ac:dyDescent="0.3"/>
  <cols>
    <col min="1" max="1" width="6.6640625" style="7" bestFit="1" customWidth="1"/>
    <col min="2" max="2" width="34.33203125" style="7" bestFit="1" customWidth="1"/>
    <col min="3" max="3" width="38.88671875" style="21" bestFit="1" customWidth="1"/>
    <col min="4" max="4" width="49.109375" style="7" bestFit="1" customWidth="1"/>
    <col min="5" max="16384" width="8.88671875" style="7"/>
  </cols>
  <sheetData>
    <row r="1" spans="1:6" ht="19.2" thickBot="1" x14ac:dyDescent="0.5">
      <c r="A1" s="1" t="s">
        <v>120</v>
      </c>
      <c r="B1" s="1" t="s">
        <v>359</v>
      </c>
      <c r="C1" s="14" t="s">
        <v>360</v>
      </c>
      <c r="D1" s="14" t="s">
        <v>361</v>
      </c>
      <c r="E1" s="18"/>
      <c r="F1" s="18"/>
    </row>
    <row r="2" spans="1:6" x14ac:dyDescent="0.3">
      <c r="A2" s="5" t="s">
        <v>216</v>
      </c>
      <c r="B2" s="5">
        <f>COUNTIF('Consumer Complaints'!I2:I201,'Geographical Insights'!A2)</f>
        <v>1</v>
      </c>
      <c r="C2" s="15">
        <f>B2/SUM($B$2:$B$39)</f>
        <v>5.3763440860215058E-3</v>
      </c>
      <c r="D2" s="17">
        <f>_xlfn.CEILING.MATH(C2,0.01)</f>
        <v>0.01</v>
      </c>
      <c r="E2" s="18"/>
      <c r="F2" s="18"/>
    </row>
    <row r="3" spans="1:6" x14ac:dyDescent="0.3">
      <c r="A3" s="3" t="s">
        <v>343</v>
      </c>
      <c r="B3" s="3">
        <f>COUNTIF('Consumer Complaints'!I3:I202,'Geographical Insights'!A3)</f>
        <v>1</v>
      </c>
      <c r="C3" s="15">
        <f t="shared" ref="C3:C39" si="0">B3/SUM($B$2:$B$39)</f>
        <v>5.3763440860215058E-3</v>
      </c>
      <c r="D3" s="16">
        <f t="shared" ref="D3:D39" si="1">_xlfn.CEILING.MATH(C3,0.01)</f>
        <v>0.01</v>
      </c>
      <c r="E3" s="18"/>
      <c r="F3" s="18"/>
    </row>
    <row r="4" spans="1:6" x14ac:dyDescent="0.3">
      <c r="A4" s="3" t="s">
        <v>222</v>
      </c>
      <c r="B4" s="3">
        <f>COUNTIF('Consumer Complaints'!I4:I203,'Geographical Insights'!A4)</f>
        <v>7</v>
      </c>
      <c r="C4" s="15">
        <f t="shared" si="0"/>
        <v>3.7634408602150539E-2</v>
      </c>
      <c r="D4" s="16">
        <f t="shared" si="1"/>
        <v>0.04</v>
      </c>
      <c r="E4" s="18"/>
      <c r="F4" s="18"/>
    </row>
    <row r="5" spans="1:6" x14ac:dyDescent="0.3">
      <c r="A5" s="3" t="s">
        <v>143</v>
      </c>
      <c r="B5" s="3">
        <f>COUNTIF('Consumer Complaints'!I5:I204,'Geographical Insights'!A5)</f>
        <v>25</v>
      </c>
      <c r="C5" s="15">
        <f t="shared" si="0"/>
        <v>0.13440860215053763</v>
      </c>
      <c r="D5" s="16">
        <f t="shared" si="1"/>
        <v>0.14000000000000001</v>
      </c>
      <c r="E5" s="18"/>
      <c r="F5" s="18"/>
    </row>
    <row r="6" spans="1:6" x14ac:dyDescent="0.3">
      <c r="A6" s="3" t="s">
        <v>206</v>
      </c>
      <c r="B6" s="3">
        <f>COUNTIF('Consumer Complaints'!I6:I205,'Geographical Insights'!A6)</f>
        <v>3</v>
      </c>
      <c r="C6" s="15">
        <f t="shared" si="0"/>
        <v>1.6129032258064516E-2</v>
      </c>
      <c r="D6" s="16">
        <f t="shared" si="1"/>
        <v>0.02</v>
      </c>
      <c r="E6" s="18"/>
      <c r="F6" s="18"/>
    </row>
    <row r="7" spans="1:6" x14ac:dyDescent="0.3">
      <c r="A7" s="3" t="s">
        <v>250</v>
      </c>
      <c r="B7" s="3">
        <f>COUNTIF('Consumer Complaints'!I7:I206,'Geographical Insights'!A7)</f>
        <v>2</v>
      </c>
      <c r="C7" s="15">
        <f t="shared" si="0"/>
        <v>1.0752688172043012E-2</v>
      </c>
      <c r="D7" s="16">
        <f t="shared" si="1"/>
        <v>0.02</v>
      </c>
      <c r="E7" s="18"/>
      <c r="F7" s="18"/>
    </row>
    <row r="8" spans="1:6" x14ac:dyDescent="0.3">
      <c r="A8" s="3" t="s">
        <v>192</v>
      </c>
      <c r="B8" s="3">
        <f>COUNTIF('Consumer Complaints'!I8:I207,'Geographical Insights'!A8)</f>
        <v>4</v>
      </c>
      <c r="C8" s="15">
        <f t="shared" si="0"/>
        <v>2.1505376344086023E-2</v>
      </c>
      <c r="D8" s="16">
        <f t="shared" si="1"/>
        <v>0.03</v>
      </c>
      <c r="E8" s="18"/>
      <c r="F8" s="18"/>
    </row>
    <row r="9" spans="1:6" x14ac:dyDescent="0.3">
      <c r="A9" s="3" t="s">
        <v>151</v>
      </c>
      <c r="B9" s="3">
        <f>COUNTIF('Consumer Complaints'!I9:I208,'Geographical Insights'!A9)</f>
        <v>10</v>
      </c>
      <c r="C9" s="15">
        <f t="shared" si="0"/>
        <v>5.3763440860215055E-2</v>
      </c>
      <c r="D9" s="16">
        <f t="shared" si="1"/>
        <v>0.06</v>
      </c>
      <c r="E9" s="18"/>
      <c r="F9" s="18"/>
    </row>
    <row r="10" spans="1:6" x14ac:dyDescent="0.3">
      <c r="A10" s="3" t="s">
        <v>171</v>
      </c>
      <c r="B10" s="3">
        <f>COUNTIF('Consumer Complaints'!I10:I209,'Geographical Insights'!A10)</f>
        <v>11</v>
      </c>
      <c r="C10" s="15">
        <f t="shared" si="0"/>
        <v>5.9139784946236562E-2</v>
      </c>
      <c r="D10" s="16">
        <f t="shared" si="1"/>
        <v>0.06</v>
      </c>
      <c r="E10" s="18"/>
      <c r="F10" s="18"/>
    </row>
    <row r="11" spans="1:6" x14ac:dyDescent="0.3">
      <c r="A11" s="3" t="s">
        <v>304</v>
      </c>
      <c r="B11" s="3">
        <f>COUNTIF('Consumer Complaints'!I11:I210,'Geographical Insights'!A11)</f>
        <v>1</v>
      </c>
      <c r="C11" s="15">
        <f t="shared" si="0"/>
        <v>5.3763440860215058E-3</v>
      </c>
      <c r="D11" s="16">
        <f t="shared" si="1"/>
        <v>0.01</v>
      </c>
      <c r="E11" s="18"/>
      <c r="F11" s="18"/>
    </row>
    <row r="12" spans="1:6" x14ac:dyDescent="0.3">
      <c r="A12" s="3" t="s">
        <v>136</v>
      </c>
      <c r="B12" s="3">
        <f>COUNTIF('Consumer Complaints'!I12:I211,'Geographical Insights'!A12)</f>
        <v>7</v>
      </c>
      <c r="C12" s="15">
        <f t="shared" si="0"/>
        <v>3.7634408602150539E-2</v>
      </c>
      <c r="D12" s="16">
        <f t="shared" si="1"/>
        <v>0.04</v>
      </c>
      <c r="E12" s="18"/>
      <c r="F12" s="18"/>
    </row>
    <row r="13" spans="1:6" x14ac:dyDescent="0.3">
      <c r="A13" s="3" t="s">
        <v>275</v>
      </c>
      <c r="B13" s="3">
        <f>COUNTIF('Consumer Complaints'!I13:I212,'Geographical Insights'!A13)</f>
        <v>3</v>
      </c>
      <c r="C13" s="15">
        <f t="shared" si="0"/>
        <v>1.6129032258064516E-2</v>
      </c>
      <c r="D13" s="16">
        <f t="shared" si="1"/>
        <v>0.02</v>
      </c>
      <c r="E13" s="18"/>
      <c r="F13" s="18"/>
    </row>
    <row r="14" spans="1:6" x14ac:dyDescent="0.3">
      <c r="A14" s="3" t="s">
        <v>220</v>
      </c>
      <c r="B14" s="3">
        <f>COUNTIF('Consumer Complaints'!I14:I213,'Geographical Insights'!A14)</f>
        <v>1</v>
      </c>
      <c r="C14" s="15">
        <f t="shared" si="0"/>
        <v>5.3763440860215058E-3</v>
      </c>
      <c r="D14" s="16">
        <f t="shared" si="1"/>
        <v>0.01</v>
      </c>
      <c r="E14" s="18"/>
      <c r="F14" s="18"/>
    </row>
    <row r="15" spans="1:6" x14ac:dyDescent="0.3">
      <c r="A15" s="3" t="s">
        <v>202</v>
      </c>
      <c r="B15" s="3">
        <f>COUNTIF('Consumer Complaints'!I15:I214,'Geographical Insights'!A15)</f>
        <v>1</v>
      </c>
      <c r="C15" s="15">
        <f t="shared" si="0"/>
        <v>5.3763440860215058E-3</v>
      </c>
      <c r="D15" s="16">
        <f t="shared" si="1"/>
        <v>0.01</v>
      </c>
      <c r="E15" s="18"/>
      <c r="F15" s="18"/>
    </row>
    <row r="16" spans="1:6" x14ac:dyDescent="0.3">
      <c r="A16" s="3" t="s">
        <v>145</v>
      </c>
      <c r="B16" s="3">
        <f>COUNTIF('Consumer Complaints'!I16:I215,'Geographical Insights'!A16)</f>
        <v>2</v>
      </c>
      <c r="C16" s="15">
        <f t="shared" si="0"/>
        <v>1.0752688172043012E-2</v>
      </c>
      <c r="D16" s="16">
        <f t="shared" si="1"/>
        <v>0.02</v>
      </c>
      <c r="E16" s="18"/>
      <c r="F16" s="18"/>
    </row>
    <row r="17" spans="1:6" x14ac:dyDescent="0.3">
      <c r="A17" s="3" t="s">
        <v>271</v>
      </c>
      <c r="B17" s="3">
        <f>COUNTIF('Consumer Complaints'!I17:I216,'Geographical Insights'!A17)</f>
        <v>3</v>
      </c>
      <c r="C17" s="15">
        <f t="shared" si="0"/>
        <v>1.6129032258064516E-2</v>
      </c>
      <c r="D17" s="16">
        <f t="shared" si="1"/>
        <v>0.02</v>
      </c>
      <c r="E17" s="18"/>
      <c r="F17" s="18"/>
    </row>
    <row r="18" spans="1:6" x14ac:dyDescent="0.3">
      <c r="A18" s="3" t="s">
        <v>164</v>
      </c>
      <c r="B18" s="3">
        <f>COUNTIF('Consumer Complaints'!I18:I217,'Geographical Insights'!A18)</f>
        <v>9</v>
      </c>
      <c r="C18" s="15">
        <f t="shared" si="0"/>
        <v>4.8387096774193547E-2</v>
      </c>
      <c r="D18" s="16">
        <f t="shared" si="1"/>
        <v>0.05</v>
      </c>
      <c r="E18" s="18"/>
      <c r="F18" s="18"/>
    </row>
    <row r="19" spans="1:6" x14ac:dyDescent="0.3">
      <c r="A19" s="3" t="s">
        <v>238</v>
      </c>
      <c r="B19" s="3">
        <f>COUNTIF('Consumer Complaints'!I19:I218,'Geographical Insights'!A19)</f>
        <v>2</v>
      </c>
      <c r="C19" s="15">
        <f t="shared" si="0"/>
        <v>1.0752688172043012E-2</v>
      </c>
      <c r="D19" s="16">
        <f t="shared" si="1"/>
        <v>0.02</v>
      </c>
      <c r="E19" s="18"/>
      <c r="F19" s="18"/>
    </row>
    <row r="20" spans="1:6" x14ac:dyDescent="0.3">
      <c r="A20" s="3" t="s">
        <v>226</v>
      </c>
      <c r="B20" s="3">
        <f>COUNTIF('Consumer Complaints'!I20:I219,'Geographical Insights'!A20)</f>
        <v>4</v>
      </c>
      <c r="C20" s="15">
        <f t="shared" si="0"/>
        <v>2.1505376344086023E-2</v>
      </c>
      <c r="D20" s="16">
        <f t="shared" si="1"/>
        <v>0.03</v>
      </c>
      <c r="E20" s="18"/>
      <c r="F20" s="18"/>
    </row>
    <row r="21" spans="1:6" x14ac:dyDescent="0.3">
      <c r="A21" s="3" t="s">
        <v>291</v>
      </c>
      <c r="B21" s="3">
        <f>COUNTIF('Consumer Complaints'!I21:I220,'Geographical Insights'!A21)</f>
        <v>3</v>
      </c>
      <c r="C21" s="15">
        <f t="shared" si="0"/>
        <v>1.6129032258064516E-2</v>
      </c>
      <c r="D21" s="16">
        <f t="shared" si="1"/>
        <v>0.02</v>
      </c>
      <c r="E21" s="18"/>
      <c r="F21" s="18"/>
    </row>
    <row r="22" spans="1:6" x14ac:dyDescent="0.3">
      <c r="A22" s="3" t="s">
        <v>356</v>
      </c>
      <c r="B22" s="3">
        <f>COUNTIF('Consumer Complaints'!I22:I221,'Geographical Insights'!A22)</f>
        <v>1</v>
      </c>
      <c r="C22" s="15">
        <f t="shared" si="0"/>
        <v>5.3763440860215058E-3</v>
      </c>
      <c r="D22" s="16">
        <f t="shared" si="1"/>
        <v>0.01</v>
      </c>
      <c r="E22" s="18"/>
      <c r="F22" s="18"/>
    </row>
    <row r="23" spans="1:6" x14ac:dyDescent="0.3">
      <c r="A23" s="3" t="s">
        <v>281</v>
      </c>
      <c r="B23" s="3">
        <f>COUNTIF('Consumer Complaints'!I23:I222,'Geographical Insights'!A23)</f>
        <v>1</v>
      </c>
      <c r="C23" s="15">
        <f t="shared" si="0"/>
        <v>5.3763440860215058E-3</v>
      </c>
      <c r="D23" s="16">
        <f t="shared" si="1"/>
        <v>0.01</v>
      </c>
      <c r="E23" s="18"/>
      <c r="F23" s="18"/>
    </row>
    <row r="24" spans="1:6" x14ac:dyDescent="0.3">
      <c r="A24" s="3" t="s">
        <v>310</v>
      </c>
      <c r="B24" s="3">
        <f>COUNTIF('Consumer Complaints'!I24:I223,'Geographical Insights'!A24)</f>
        <v>1</v>
      </c>
      <c r="C24" s="15">
        <f t="shared" si="0"/>
        <v>5.3763440860215058E-3</v>
      </c>
      <c r="D24" s="16">
        <f t="shared" si="1"/>
        <v>0.01</v>
      </c>
      <c r="E24" s="18"/>
      <c r="F24" s="18"/>
    </row>
    <row r="25" spans="1:6" x14ac:dyDescent="0.3">
      <c r="A25" s="3" t="s">
        <v>188</v>
      </c>
      <c r="B25" s="3">
        <f>COUNTIF('Consumer Complaints'!I25:I224,'Geographical Insights'!A25)</f>
        <v>9</v>
      </c>
      <c r="C25" s="15">
        <f t="shared" si="0"/>
        <v>4.8387096774193547E-2</v>
      </c>
      <c r="D25" s="16">
        <f t="shared" si="1"/>
        <v>0.05</v>
      </c>
      <c r="E25" s="18"/>
      <c r="F25" s="18"/>
    </row>
    <row r="26" spans="1:6" x14ac:dyDescent="0.3">
      <c r="A26" s="3" t="s">
        <v>227</v>
      </c>
      <c r="B26" s="3">
        <f>COUNTIF('Consumer Complaints'!I26:I225,'Geographical Insights'!A26)</f>
        <v>1</v>
      </c>
      <c r="C26" s="15">
        <f t="shared" si="0"/>
        <v>5.3763440860215058E-3</v>
      </c>
      <c r="D26" s="16">
        <f t="shared" si="1"/>
        <v>0.01</v>
      </c>
      <c r="E26" s="18"/>
      <c r="F26" s="18"/>
    </row>
    <row r="27" spans="1:6" x14ac:dyDescent="0.3">
      <c r="A27" s="3" t="s">
        <v>153</v>
      </c>
      <c r="B27" s="3">
        <f>COUNTIF('Consumer Complaints'!I27:I226,'Geographical Insights'!A27)</f>
        <v>5</v>
      </c>
      <c r="C27" s="15">
        <f t="shared" si="0"/>
        <v>2.6881720430107527E-2</v>
      </c>
      <c r="D27" s="16">
        <f t="shared" si="1"/>
        <v>0.03</v>
      </c>
      <c r="E27" s="18"/>
      <c r="F27" s="18"/>
    </row>
    <row r="28" spans="1:6" x14ac:dyDescent="0.3">
      <c r="A28" s="3" t="s">
        <v>241</v>
      </c>
      <c r="B28" s="3">
        <f>COUNTIF('Consumer Complaints'!I28:I227,'Geographical Insights'!A28)</f>
        <v>2</v>
      </c>
      <c r="C28" s="15">
        <f t="shared" si="0"/>
        <v>1.0752688172043012E-2</v>
      </c>
      <c r="D28" s="16">
        <f t="shared" si="1"/>
        <v>0.02</v>
      </c>
      <c r="E28" s="18"/>
      <c r="F28" s="18"/>
    </row>
    <row r="29" spans="1:6" x14ac:dyDescent="0.3">
      <c r="A29" s="3" t="s">
        <v>148</v>
      </c>
      <c r="B29" s="3">
        <f>COUNTIF('Consumer Complaints'!I29:I228,'Geographical Insights'!A29)</f>
        <v>9</v>
      </c>
      <c r="C29" s="15">
        <f t="shared" si="0"/>
        <v>4.8387096774193547E-2</v>
      </c>
      <c r="D29" s="16">
        <f t="shared" si="1"/>
        <v>0.05</v>
      </c>
      <c r="E29" s="18"/>
      <c r="F29" s="18"/>
    </row>
    <row r="30" spans="1:6" x14ac:dyDescent="0.3">
      <c r="A30" s="3" t="s">
        <v>261</v>
      </c>
      <c r="B30" s="3">
        <f>COUNTIF('Consumer Complaints'!I30:I229,'Geographical Insights'!A30)</f>
        <v>2</v>
      </c>
      <c r="C30" s="15">
        <f t="shared" si="0"/>
        <v>1.0752688172043012E-2</v>
      </c>
      <c r="D30" s="16">
        <f t="shared" si="1"/>
        <v>0.02</v>
      </c>
      <c r="E30" s="18"/>
      <c r="F30" s="18"/>
    </row>
    <row r="31" spans="1:6" x14ac:dyDescent="0.3">
      <c r="A31" s="3" t="s">
        <v>209</v>
      </c>
      <c r="B31" s="3">
        <f>COUNTIF('Consumer Complaints'!I31:I230,'Geographical Insights'!A31)</f>
        <v>2</v>
      </c>
      <c r="C31" s="15">
        <f t="shared" si="0"/>
        <v>1.0752688172043012E-2</v>
      </c>
      <c r="D31" s="16">
        <f t="shared" si="1"/>
        <v>0.02</v>
      </c>
      <c r="E31" s="18"/>
      <c r="F31" s="18"/>
    </row>
    <row r="32" spans="1:6" x14ac:dyDescent="0.3">
      <c r="A32" s="3" t="s">
        <v>177</v>
      </c>
      <c r="B32" s="3">
        <f>COUNTIF('Consumer Complaints'!I32:I231,'Geographical Insights'!A32)</f>
        <v>8</v>
      </c>
      <c r="C32" s="15">
        <f t="shared" si="0"/>
        <v>4.3010752688172046E-2</v>
      </c>
      <c r="D32" s="16">
        <f t="shared" si="1"/>
        <v>0.05</v>
      </c>
      <c r="E32" s="18"/>
      <c r="F32" s="18"/>
    </row>
    <row r="33" spans="1:6" x14ac:dyDescent="0.3">
      <c r="A33" s="3" t="s">
        <v>180</v>
      </c>
      <c r="B33" s="3">
        <f>COUNTIF('Consumer Complaints'!I33:I232,'Geographical Insights'!A33)</f>
        <v>5</v>
      </c>
      <c r="C33" s="15">
        <f t="shared" si="0"/>
        <v>2.6881720430107527E-2</v>
      </c>
      <c r="D33" s="16">
        <f t="shared" si="1"/>
        <v>0.03</v>
      </c>
      <c r="E33" s="18"/>
      <c r="F33" s="18"/>
    </row>
    <row r="34" spans="1:6" x14ac:dyDescent="0.3">
      <c r="A34" s="3" t="s">
        <v>194</v>
      </c>
      <c r="B34" s="3">
        <f>COUNTIF('Consumer Complaints'!I34:I233,'Geographical Insights'!A34)</f>
        <v>6</v>
      </c>
      <c r="C34" s="15">
        <f t="shared" si="0"/>
        <v>3.2258064516129031E-2</v>
      </c>
      <c r="D34" s="16">
        <f t="shared" si="1"/>
        <v>0.04</v>
      </c>
      <c r="E34" s="18"/>
      <c r="F34" s="18"/>
    </row>
    <row r="35" spans="1:6" x14ac:dyDescent="0.3">
      <c r="A35" s="3" t="s">
        <v>130</v>
      </c>
      <c r="B35" s="3">
        <f>COUNTIF('Consumer Complaints'!I35:I234,'Geographical Insights'!A35)</f>
        <v>18</v>
      </c>
      <c r="C35" s="15">
        <f t="shared" si="0"/>
        <v>9.6774193548387094E-2</v>
      </c>
      <c r="D35" s="16">
        <f t="shared" si="1"/>
        <v>0.1</v>
      </c>
      <c r="E35" s="18"/>
      <c r="F35" s="18"/>
    </row>
    <row r="36" spans="1:6" x14ac:dyDescent="0.3">
      <c r="A36" s="3" t="s">
        <v>185</v>
      </c>
      <c r="B36" s="3">
        <f>COUNTIF('Consumer Complaints'!I36:I235,'Geographical Insights'!A36)</f>
        <v>6</v>
      </c>
      <c r="C36" s="15">
        <f t="shared" si="0"/>
        <v>3.2258064516129031E-2</v>
      </c>
      <c r="D36" s="16">
        <f t="shared" si="1"/>
        <v>0.04</v>
      </c>
      <c r="E36" s="18"/>
      <c r="F36" s="18"/>
    </row>
    <row r="37" spans="1:6" x14ac:dyDescent="0.3">
      <c r="A37" s="3" t="s">
        <v>262</v>
      </c>
      <c r="B37" s="3">
        <f>COUNTIF('Consumer Complaints'!I37:I236,'Geographical Insights'!A37)</f>
        <v>1</v>
      </c>
      <c r="C37" s="15">
        <f t="shared" si="0"/>
        <v>5.3763440860215058E-3</v>
      </c>
      <c r="D37" s="16">
        <f t="shared" si="1"/>
        <v>0.01</v>
      </c>
      <c r="E37" s="18"/>
      <c r="F37" s="18"/>
    </row>
    <row r="38" spans="1:6" x14ac:dyDescent="0.3">
      <c r="A38" s="3" t="s">
        <v>175</v>
      </c>
      <c r="B38" s="3">
        <f>COUNTIF('Consumer Complaints'!I38:I237,'Geographical Insights'!A38)</f>
        <v>6</v>
      </c>
      <c r="C38" s="15">
        <f t="shared" si="0"/>
        <v>3.2258064516129031E-2</v>
      </c>
      <c r="D38" s="16">
        <f t="shared" si="1"/>
        <v>0.04</v>
      </c>
      <c r="E38" s="18"/>
      <c r="F38" s="18"/>
    </row>
    <row r="39" spans="1:6" x14ac:dyDescent="0.3">
      <c r="A39" s="3" t="s">
        <v>155</v>
      </c>
      <c r="B39" s="3">
        <f>COUNTIF('Consumer Complaints'!I39:I238,'Geographical Insights'!A39)</f>
        <v>3</v>
      </c>
      <c r="C39" s="15">
        <f t="shared" si="0"/>
        <v>1.6129032258064516E-2</v>
      </c>
      <c r="D39" s="16">
        <f t="shared" si="1"/>
        <v>0.02</v>
      </c>
      <c r="E39" s="18"/>
      <c r="F39" s="18"/>
    </row>
    <row r="40" spans="1:6" x14ac:dyDescent="0.3">
      <c r="C40" s="20"/>
      <c r="E40" s="18"/>
      <c r="F40" s="18"/>
    </row>
    <row r="41" spans="1:6" x14ac:dyDescent="0.3">
      <c r="C41" s="20"/>
      <c r="E41" s="18"/>
      <c r="F41" s="18"/>
    </row>
    <row r="42" spans="1:6" x14ac:dyDescent="0.3">
      <c r="C42" s="20"/>
      <c r="E42" s="18"/>
      <c r="F42" s="18"/>
    </row>
    <row r="43" spans="1:6" x14ac:dyDescent="0.3">
      <c r="C43" s="20"/>
      <c r="E43" s="18"/>
      <c r="F43" s="18"/>
    </row>
    <row r="44" spans="1:6" x14ac:dyDescent="0.3">
      <c r="C44" s="20"/>
      <c r="E44" s="18"/>
      <c r="F44" s="18"/>
    </row>
    <row r="45" spans="1:6" x14ac:dyDescent="0.3">
      <c r="C45" s="20"/>
      <c r="E45" s="18"/>
      <c r="F45" s="18"/>
    </row>
    <row r="46" spans="1:6" x14ac:dyDescent="0.3">
      <c r="C46" s="20"/>
      <c r="E46" s="18"/>
      <c r="F46" s="18"/>
    </row>
    <row r="47" spans="1:6" x14ac:dyDescent="0.3">
      <c r="C47" s="20"/>
      <c r="E47" s="18"/>
      <c r="F47" s="18"/>
    </row>
    <row r="48" spans="1:6" x14ac:dyDescent="0.3">
      <c r="C48" s="20"/>
      <c r="E48" s="18"/>
      <c r="F48" s="18"/>
    </row>
    <row r="49" spans="3:6" x14ac:dyDescent="0.3">
      <c r="C49" s="20"/>
      <c r="E49" s="18"/>
      <c r="F49" s="18"/>
    </row>
    <row r="50" spans="3:6" x14ac:dyDescent="0.3">
      <c r="C50" s="20"/>
      <c r="E50" s="18"/>
      <c r="F50" s="18"/>
    </row>
    <row r="51" spans="3:6" x14ac:dyDescent="0.3">
      <c r="C51" s="20"/>
      <c r="E51" s="18"/>
      <c r="F51" s="18"/>
    </row>
    <row r="52" spans="3:6" x14ac:dyDescent="0.3">
      <c r="C52" s="20"/>
      <c r="E52" s="18"/>
      <c r="F52" s="18"/>
    </row>
    <row r="53" spans="3:6" x14ac:dyDescent="0.3">
      <c r="C53" s="20"/>
      <c r="E53" s="18"/>
      <c r="F53" s="18"/>
    </row>
    <row r="54" spans="3:6" x14ac:dyDescent="0.3">
      <c r="C54" s="20"/>
      <c r="E54" s="18"/>
      <c r="F54" s="18"/>
    </row>
    <row r="55" spans="3:6" x14ac:dyDescent="0.3">
      <c r="C55" s="20"/>
      <c r="E55" s="18"/>
      <c r="F55" s="18"/>
    </row>
    <row r="56" spans="3:6" x14ac:dyDescent="0.3">
      <c r="C56" s="20"/>
      <c r="E56" s="18"/>
      <c r="F56" s="18"/>
    </row>
    <row r="57" spans="3:6" x14ac:dyDescent="0.3">
      <c r="C57" s="20"/>
      <c r="E57" s="18"/>
      <c r="F57" s="18"/>
    </row>
    <row r="58" spans="3:6" x14ac:dyDescent="0.3">
      <c r="C58" s="20"/>
      <c r="E58" s="18"/>
      <c r="F58" s="18"/>
    </row>
    <row r="59" spans="3:6" x14ac:dyDescent="0.3">
      <c r="C59" s="20"/>
      <c r="E59" s="18"/>
      <c r="F59" s="18"/>
    </row>
    <row r="60" spans="3:6" x14ac:dyDescent="0.3">
      <c r="C60" s="20"/>
      <c r="E60" s="18"/>
      <c r="F60" s="18"/>
    </row>
    <row r="61" spans="3:6" x14ac:dyDescent="0.3">
      <c r="C61" s="20"/>
      <c r="E61" s="18"/>
      <c r="F61" s="18"/>
    </row>
    <row r="62" spans="3:6" x14ac:dyDescent="0.3">
      <c r="C62" s="20"/>
      <c r="E62" s="18"/>
      <c r="F62" s="18"/>
    </row>
    <row r="63" spans="3:6" x14ac:dyDescent="0.3">
      <c r="C63" s="20"/>
      <c r="E63" s="18"/>
      <c r="F63" s="18"/>
    </row>
    <row r="64" spans="3:6" x14ac:dyDescent="0.3">
      <c r="C64" s="20"/>
      <c r="E64" s="18"/>
      <c r="F64" s="18"/>
    </row>
    <row r="65" spans="3:6" x14ac:dyDescent="0.3">
      <c r="C65" s="20"/>
      <c r="E65" s="18"/>
      <c r="F65" s="18"/>
    </row>
    <row r="66" spans="3:6" x14ac:dyDescent="0.3">
      <c r="C66" s="20"/>
      <c r="E66" s="18"/>
      <c r="F66" s="18"/>
    </row>
    <row r="67" spans="3:6" x14ac:dyDescent="0.3">
      <c r="C67" s="20"/>
      <c r="E67" s="18"/>
      <c r="F67" s="18"/>
    </row>
    <row r="68" spans="3:6" x14ac:dyDescent="0.3">
      <c r="C68" s="20"/>
      <c r="E68" s="18"/>
      <c r="F68" s="18"/>
    </row>
    <row r="69" spans="3:6" x14ac:dyDescent="0.3">
      <c r="C69" s="20"/>
      <c r="E69" s="18"/>
      <c r="F69" s="18"/>
    </row>
    <row r="70" spans="3:6" x14ac:dyDescent="0.3">
      <c r="C70" s="20"/>
      <c r="E70" s="18"/>
      <c r="F70" s="18"/>
    </row>
    <row r="71" spans="3:6" x14ac:dyDescent="0.3">
      <c r="C71" s="20"/>
      <c r="E71" s="18"/>
      <c r="F71" s="18"/>
    </row>
    <row r="72" spans="3:6" x14ac:dyDescent="0.3">
      <c r="C72" s="20"/>
      <c r="E72" s="18"/>
      <c r="F72" s="18"/>
    </row>
    <row r="73" spans="3:6" x14ac:dyDescent="0.3">
      <c r="C73" s="20"/>
      <c r="E73" s="18"/>
      <c r="F73" s="18"/>
    </row>
    <row r="74" spans="3:6" x14ac:dyDescent="0.3">
      <c r="C74" s="20"/>
      <c r="E74" s="18"/>
      <c r="F74" s="18"/>
    </row>
    <row r="75" spans="3:6" x14ac:dyDescent="0.3">
      <c r="C75" s="20"/>
      <c r="E75" s="18"/>
      <c r="F75" s="18"/>
    </row>
    <row r="76" spans="3:6" x14ac:dyDescent="0.3">
      <c r="C76" s="20"/>
      <c r="E76" s="18"/>
      <c r="F76" s="18"/>
    </row>
    <row r="77" spans="3:6" x14ac:dyDescent="0.3">
      <c r="C77" s="20"/>
      <c r="E77" s="18"/>
      <c r="F77" s="18"/>
    </row>
    <row r="78" spans="3:6" x14ac:dyDescent="0.3">
      <c r="C78" s="20"/>
      <c r="E78" s="18"/>
      <c r="F78" s="18"/>
    </row>
    <row r="79" spans="3:6" x14ac:dyDescent="0.3">
      <c r="C79" s="20"/>
      <c r="E79" s="18"/>
      <c r="F79" s="18"/>
    </row>
    <row r="80" spans="3:6" x14ac:dyDescent="0.3">
      <c r="C80" s="20"/>
      <c r="E80" s="18"/>
      <c r="F80" s="18"/>
    </row>
    <row r="81" spans="3:6" x14ac:dyDescent="0.3">
      <c r="C81" s="20"/>
      <c r="E81" s="18"/>
      <c r="F81" s="18"/>
    </row>
    <row r="82" spans="3:6" x14ac:dyDescent="0.3">
      <c r="C82" s="20"/>
      <c r="E82" s="18"/>
      <c r="F82" s="18"/>
    </row>
    <row r="83" spans="3:6" x14ac:dyDescent="0.3">
      <c r="C83" s="20"/>
      <c r="E83" s="18"/>
      <c r="F83" s="18"/>
    </row>
    <row r="84" spans="3:6" x14ac:dyDescent="0.3">
      <c r="C84" s="20"/>
      <c r="E84" s="18"/>
      <c r="F84" s="18"/>
    </row>
    <row r="85" spans="3:6" x14ac:dyDescent="0.3">
      <c r="C85" s="20"/>
      <c r="E85" s="18"/>
      <c r="F85" s="18"/>
    </row>
    <row r="86" spans="3:6" x14ac:dyDescent="0.3">
      <c r="C86" s="20"/>
      <c r="E86" s="18"/>
      <c r="F86" s="18"/>
    </row>
    <row r="87" spans="3:6" x14ac:dyDescent="0.3">
      <c r="C87" s="20"/>
      <c r="E87" s="18"/>
      <c r="F87" s="18"/>
    </row>
    <row r="88" spans="3:6" x14ac:dyDescent="0.3">
      <c r="C88" s="20"/>
      <c r="E88" s="18"/>
      <c r="F88" s="18"/>
    </row>
    <row r="89" spans="3:6" x14ac:dyDescent="0.3">
      <c r="C89" s="20"/>
      <c r="E89" s="18"/>
      <c r="F89" s="18"/>
    </row>
    <row r="90" spans="3:6" x14ac:dyDescent="0.3">
      <c r="C90" s="20"/>
      <c r="E90" s="18"/>
      <c r="F90" s="18"/>
    </row>
    <row r="91" spans="3:6" x14ac:dyDescent="0.3">
      <c r="C91" s="20"/>
      <c r="E91" s="18"/>
      <c r="F91" s="18"/>
    </row>
    <row r="92" spans="3:6" x14ac:dyDescent="0.3">
      <c r="C92" s="20"/>
      <c r="E92" s="18"/>
      <c r="F92" s="18"/>
    </row>
    <row r="93" spans="3:6" x14ac:dyDescent="0.3">
      <c r="C93" s="20"/>
      <c r="E93" s="18"/>
      <c r="F93" s="18"/>
    </row>
    <row r="94" spans="3:6" x14ac:dyDescent="0.3">
      <c r="C94" s="20"/>
      <c r="E94" s="18"/>
      <c r="F94" s="18"/>
    </row>
    <row r="95" spans="3:6" x14ac:dyDescent="0.3">
      <c r="C95" s="20"/>
      <c r="E95" s="18"/>
      <c r="F95" s="18"/>
    </row>
    <row r="96" spans="3:6" x14ac:dyDescent="0.3">
      <c r="C96" s="20"/>
      <c r="E96" s="18"/>
      <c r="F96" s="18"/>
    </row>
    <row r="97" spans="3:6" x14ac:dyDescent="0.3">
      <c r="C97" s="20"/>
      <c r="E97" s="18"/>
      <c r="F97" s="18"/>
    </row>
    <row r="98" spans="3:6" x14ac:dyDescent="0.3">
      <c r="C98" s="20"/>
      <c r="E98" s="18"/>
      <c r="F98" s="18"/>
    </row>
    <row r="99" spans="3:6" x14ac:dyDescent="0.3">
      <c r="C99" s="20"/>
      <c r="E99" s="18"/>
      <c r="F99" s="18"/>
    </row>
    <row r="100" spans="3:6" x14ac:dyDescent="0.3">
      <c r="C100" s="20"/>
      <c r="E100" s="18"/>
      <c r="F100" s="18"/>
    </row>
    <row r="101" spans="3:6" x14ac:dyDescent="0.3">
      <c r="C101" s="20"/>
      <c r="E101" s="18"/>
      <c r="F101" s="18"/>
    </row>
    <row r="102" spans="3:6" x14ac:dyDescent="0.3">
      <c r="E102" s="19"/>
      <c r="F102" s="19"/>
    </row>
    <row r="103" spans="3:6" x14ac:dyDescent="0.3">
      <c r="E103" s="18"/>
      <c r="F103" s="18"/>
    </row>
    <row r="104" spans="3:6" x14ac:dyDescent="0.3">
      <c r="E104" s="18"/>
      <c r="F104" s="18"/>
    </row>
    <row r="105" spans="3:6" x14ac:dyDescent="0.3">
      <c r="E105" s="18"/>
      <c r="F105" s="18"/>
    </row>
    <row r="106" spans="3:6" x14ac:dyDescent="0.3">
      <c r="E106" s="18"/>
      <c r="F106" s="18"/>
    </row>
    <row r="107" spans="3:6" x14ac:dyDescent="0.3">
      <c r="E107" s="18"/>
      <c r="F107" s="18"/>
    </row>
    <row r="108" spans="3:6" x14ac:dyDescent="0.3">
      <c r="E108" s="18"/>
      <c r="F108" s="18"/>
    </row>
    <row r="109" spans="3:6" x14ac:dyDescent="0.3">
      <c r="E109" s="18"/>
      <c r="F109" s="18"/>
    </row>
    <row r="110" spans="3:6" x14ac:dyDescent="0.3">
      <c r="E110" s="18"/>
      <c r="F110" s="18"/>
    </row>
    <row r="111" spans="3:6" x14ac:dyDescent="0.3">
      <c r="E111" s="18"/>
      <c r="F111" s="18"/>
    </row>
    <row r="112" spans="3:6" x14ac:dyDescent="0.3">
      <c r="E112" s="18"/>
      <c r="F112" s="18"/>
    </row>
    <row r="113" spans="5:6" x14ac:dyDescent="0.3">
      <c r="E113" s="18"/>
      <c r="F113" s="18"/>
    </row>
    <row r="114" spans="5:6" x14ac:dyDescent="0.3">
      <c r="E114" s="18"/>
      <c r="F114" s="18"/>
    </row>
    <row r="115" spans="5:6" x14ac:dyDescent="0.3">
      <c r="E115" s="18"/>
      <c r="F115" s="18"/>
    </row>
    <row r="116" spans="5:6" x14ac:dyDescent="0.3">
      <c r="E116" s="18"/>
      <c r="F116" s="18"/>
    </row>
    <row r="117" spans="5:6" x14ac:dyDescent="0.3">
      <c r="E117" s="18"/>
      <c r="F117" s="18"/>
    </row>
    <row r="118" spans="5:6" x14ac:dyDescent="0.3">
      <c r="E118" s="18"/>
      <c r="F118" s="18"/>
    </row>
    <row r="119" spans="5:6" x14ac:dyDescent="0.3">
      <c r="E119" s="18"/>
      <c r="F119" s="18"/>
    </row>
    <row r="120" spans="5:6" x14ac:dyDescent="0.3">
      <c r="E120" s="18"/>
      <c r="F120" s="18"/>
    </row>
    <row r="121" spans="5:6" x14ac:dyDescent="0.3">
      <c r="E121" s="18"/>
      <c r="F121" s="18"/>
    </row>
    <row r="122" spans="5:6" x14ac:dyDescent="0.3">
      <c r="E122" s="18"/>
      <c r="F122" s="18"/>
    </row>
    <row r="123" spans="5:6" x14ac:dyDescent="0.3">
      <c r="E123" s="18"/>
      <c r="F123" s="18"/>
    </row>
    <row r="124" spans="5:6" x14ac:dyDescent="0.3">
      <c r="E124" s="18"/>
      <c r="F124" s="18"/>
    </row>
    <row r="125" spans="5:6" x14ac:dyDescent="0.3">
      <c r="E125" s="18"/>
      <c r="F125" s="18"/>
    </row>
    <row r="126" spans="5:6" x14ac:dyDescent="0.3">
      <c r="E126" s="18"/>
      <c r="F126" s="18"/>
    </row>
    <row r="127" spans="5:6" x14ac:dyDescent="0.3">
      <c r="E127" s="18"/>
      <c r="F127" s="18"/>
    </row>
    <row r="128" spans="5:6" x14ac:dyDescent="0.3">
      <c r="E128" s="18"/>
      <c r="F128" s="18"/>
    </row>
    <row r="129" spans="5:6" x14ac:dyDescent="0.3">
      <c r="E129" s="18"/>
      <c r="F129" s="18"/>
    </row>
    <row r="130" spans="5:6" x14ac:dyDescent="0.3">
      <c r="E130" s="18"/>
      <c r="F130" s="18"/>
    </row>
    <row r="131" spans="5:6" x14ac:dyDescent="0.3">
      <c r="E131" s="18"/>
      <c r="F131" s="18"/>
    </row>
    <row r="132" spans="5:6" x14ac:dyDescent="0.3">
      <c r="E132" s="18"/>
      <c r="F132" s="18"/>
    </row>
    <row r="133" spans="5:6" x14ac:dyDescent="0.3">
      <c r="E133" s="18"/>
      <c r="F133" s="18"/>
    </row>
    <row r="134" spans="5:6" x14ac:dyDescent="0.3">
      <c r="E134" s="18"/>
      <c r="F134" s="18"/>
    </row>
    <row r="135" spans="5:6" x14ac:dyDescent="0.3">
      <c r="E135" s="18"/>
      <c r="F135" s="18"/>
    </row>
    <row r="136" spans="5:6" x14ac:dyDescent="0.3">
      <c r="E136" s="18"/>
      <c r="F136" s="18"/>
    </row>
    <row r="137" spans="5:6" x14ac:dyDescent="0.3">
      <c r="E137" s="18"/>
      <c r="F137" s="18"/>
    </row>
    <row r="138" spans="5:6" x14ac:dyDescent="0.3">
      <c r="E138" s="18"/>
      <c r="F138" s="18"/>
    </row>
    <row r="139" spans="5:6" x14ac:dyDescent="0.3">
      <c r="E139" s="18"/>
      <c r="F139" s="18"/>
    </row>
    <row r="140" spans="5:6" x14ac:dyDescent="0.3">
      <c r="E140" s="18"/>
      <c r="F140" s="18"/>
    </row>
    <row r="141" spans="5:6" x14ac:dyDescent="0.3">
      <c r="E141" s="18"/>
      <c r="F141" s="18"/>
    </row>
    <row r="142" spans="5:6" x14ac:dyDescent="0.3">
      <c r="E142" s="18"/>
      <c r="F142" s="18"/>
    </row>
    <row r="143" spans="5:6" x14ac:dyDescent="0.3">
      <c r="E143" s="18"/>
      <c r="F143" s="18"/>
    </row>
    <row r="144" spans="5:6" x14ac:dyDescent="0.3">
      <c r="E144" s="18"/>
      <c r="F144" s="18"/>
    </row>
    <row r="145" spans="5:6" x14ac:dyDescent="0.3">
      <c r="E145" s="18"/>
      <c r="F145" s="18"/>
    </row>
    <row r="146" spans="5:6" x14ac:dyDescent="0.3">
      <c r="E146" s="18"/>
      <c r="F146" s="18"/>
    </row>
    <row r="147" spans="5:6" x14ac:dyDescent="0.3">
      <c r="E147" s="18"/>
      <c r="F147" s="18"/>
    </row>
    <row r="148" spans="5:6" x14ac:dyDescent="0.3">
      <c r="E148" s="18"/>
      <c r="F148" s="18"/>
    </row>
    <row r="149" spans="5:6" x14ac:dyDescent="0.3">
      <c r="E149" s="18"/>
      <c r="F149" s="18"/>
    </row>
    <row r="150" spans="5:6" x14ac:dyDescent="0.3">
      <c r="E150" s="18"/>
      <c r="F150" s="18"/>
    </row>
    <row r="151" spans="5:6" x14ac:dyDescent="0.3">
      <c r="E151" s="18"/>
      <c r="F151" s="18"/>
    </row>
    <row r="152" spans="5:6" x14ac:dyDescent="0.3">
      <c r="E152" s="18"/>
      <c r="F152" s="18"/>
    </row>
    <row r="153" spans="5:6" x14ac:dyDescent="0.3">
      <c r="E153" s="18"/>
      <c r="F153" s="18"/>
    </row>
    <row r="154" spans="5:6" x14ac:dyDescent="0.3">
      <c r="E154" s="18"/>
      <c r="F154" s="18"/>
    </row>
    <row r="155" spans="5:6" x14ac:dyDescent="0.3">
      <c r="E155" s="18"/>
      <c r="F155" s="18"/>
    </row>
    <row r="156" spans="5:6" x14ac:dyDescent="0.3">
      <c r="E156" s="18"/>
      <c r="F156" s="18"/>
    </row>
    <row r="157" spans="5:6" x14ac:dyDescent="0.3">
      <c r="E157" s="18"/>
      <c r="F157" s="18"/>
    </row>
    <row r="158" spans="5:6" x14ac:dyDescent="0.3">
      <c r="E158" s="18"/>
      <c r="F158" s="18"/>
    </row>
    <row r="159" spans="5:6" x14ac:dyDescent="0.3">
      <c r="E159" s="18"/>
      <c r="F159" s="18"/>
    </row>
    <row r="160" spans="5:6" x14ac:dyDescent="0.3">
      <c r="E160" s="18"/>
      <c r="F160" s="18"/>
    </row>
    <row r="161" spans="5:6" x14ac:dyDescent="0.3">
      <c r="E161" s="18"/>
      <c r="F161" s="18"/>
    </row>
    <row r="162" spans="5:6" x14ac:dyDescent="0.3">
      <c r="E162" s="18"/>
      <c r="F162" s="18"/>
    </row>
    <row r="163" spans="5:6" x14ac:dyDescent="0.3">
      <c r="E163" s="18"/>
      <c r="F163" s="18"/>
    </row>
    <row r="164" spans="5:6" x14ac:dyDescent="0.3">
      <c r="E164" s="18"/>
      <c r="F164" s="18"/>
    </row>
    <row r="165" spans="5:6" x14ac:dyDescent="0.3">
      <c r="E165" s="18"/>
      <c r="F165" s="18"/>
    </row>
    <row r="166" spans="5:6" x14ac:dyDescent="0.3">
      <c r="E166" s="18"/>
      <c r="F166" s="18"/>
    </row>
    <row r="167" spans="5:6" x14ac:dyDescent="0.3">
      <c r="E167" s="18"/>
      <c r="F167" s="18"/>
    </row>
    <row r="168" spans="5:6" x14ac:dyDescent="0.3">
      <c r="E168" s="19"/>
      <c r="F168" s="19"/>
    </row>
    <row r="169" spans="5:6" x14ac:dyDescent="0.3">
      <c r="E169" s="18"/>
      <c r="F169" s="18"/>
    </row>
    <row r="170" spans="5:6" x14ac:dyDescent="0.3">
      <c r="E170" s="18"/>
      <c r="F170" s="18"/>
    </row>
    <row r="171" spans="5:6" x14ac:dyDescent="0.3">
      <c r="E171" s="18"/>
      <c r="F171" s="18"/>
    </row>
    <row r="172" spans="5:6" x14ac:dyDescent="0.3">
      <c r="E172" s="18"/>
      <c r="F172" s="18"/>
    </row>
    <row r="173" spans="5:6" x14ac:dyDescent="0.3">
      <c r="E173" s="18"/>
      <c r="F173" s="18"/>
    </row>
    <row r="174" spans="5:6" x14ac:dyDescent="0.3">
      <c r="E174" s="18"/>
      <c r="F174" s="18"/>
    </row>
    <row r="175" spans="5:6" x14ac:dyDescent="0.3">
      <c r="E175" s="18"/>
      <c r="F175" s="18"/>
    </row>
    <row r="176" spans="5:6" x14ac:dyDescent="0.3">
      <c r="E176" s="18"/>
      <c r="F176" s="18"/>
    </row>
    <row r="177" spans="5:6" x14ac:dyDescent="0.3">
      <c r="E177" s="18"/>
      <c r="F177" s="18"/>
    </row>
    <row r="178" spans="5:6" x14ac:dyDescent="0.3">
      <c r="E178" s="18"/>
      <c r="F178" s="18"/>
    </row>
    <row r="179" spans="5:6" x14ac:dyDescent="0.3">
      <c r="E179" s="18"/>
      <c r="F179" s="18"/>
    </row>
    <row r="180" spans="5:6" x14ac:dyDescent="0.3">
      <c r="E180" s="18"/>
      <c r="F180" s="18"/>
    </row>
    <row r="181" spans="5:6" x14ac:dyDescent="0.3">
      <c r="E181" s="18"/>
      <c r="F181" s="18"/>
    </row>
    <row r="182" spans="5:6" x14ac:dyDescent="0.3">
      <c r="E182" s="18"/>
      <c r="F182" s="18"/>
    </row>
    <row r="183" spans="5:6" x14ac:dyDescent="0.3">
      <c r="E183" s="18"/>
      <c r="F183" s="18"/>
    </row>
    <row r="184" spans="5:6" x14ac:dyDescent="0.3">
      <c r="E184" s="18"/>
      <c r="F184" s="18"/>
    </row>
    <row r="185" spans="5:6" x14ac:dyDescent="0.3">
      <c r="E185" s="18"/>
      <c r="F185" s="18"/>
    </row>
    <row r="186" spans="5:6" x14ac:dyDescent="0.3">
      <c r="E186" s="18"/>
      <c r="F186" s="18"/>
    </row>
    <row r="187" spans="5:6" x14ac:dyDescent="0.3">
      <c r="E187" s="18"/>
      <c r="F187" s="18"/>
    </row>
    <row r="188" spans="5:6" x14ac:dyDescent="0.3">
      <c r="E188" s="18"/>
      <c r="F188" s="18"/>
    </row>
    <row r="189" spans="5:6" x14ac:dyDescent="0.3">
      <c r="E189" s="18"/>
      <c r="F189" s="18"/>
    </row>
    <row r="190" spans="5:6" x14ac:dyDescent="0.3">
      <c r="E190" s="18"/>
      <c r="F190" s="18"/>
    </row>
    <row r="191" spans="5:6" x14ac:dyDescent="0.3">
      <c r="E191" s="18"/>
      <c r="F191" s="18"/>
    </row>
    <row r="192" spans="5:6" x14ac:dyDescent="0.3">
      <c r="E192" s="18"/>
      <c r="F192" s="18"/>
    </row>
    <row r="193" spans="5:6" x14ac:dyDescent="0.3">
      <c r="E193" s="18"/>
      <c r="F193" s="18"/>
    </row>
    <row r="194" spans="5:6" x14ac:dyDescent="0.3">
      <c r="E194" s="18"/>
      <c r="F194" s="18"/>
    </row>
    <row r="195" spans="5:6" x14ac:dyDescent="0.3">
      <c r="E195" s="18"/>
      <c r="F195" s="18"/>
    </row>
    <row r="196" spans="5:6" x14ac:dyDescent="0.3">
      <c r="E196" s="18"/>
      <c r="F196" s="18"/>
    </row>
    <row r="197" spans="5:6" x14ac:dyDescent="0.3">
      <c r="E197" s="18"/>
      <c r="F197" s="18"/>
    </row>
    <row r="198" spans="5:6" x14ac:dyDescent="0.3">
      <c r="E198" s="18"/>
      <c r="F198" s="18"/>
    </row>
    <row r="199" spans="5:6" x14ac:dyDescent="0.3">
      <c r="E199" s="18"/>
      <c r="F199" s="18"/>
    </row>
    <row r="200" spans="5:6" x14ac:dyDescent="0.3">
      <c r="E200" s="18"/>
      <c r="F200" s="18"/>
    </row>
    <row r="201" spans="5:6" x14ac:dyDescent="0.3">
      <c r="E201" s="18"/>
      <c r="F201" s="18"/>
    </row>
    <row r="202" spans="5:6" x14ac:dyDescent="0.3">
      <c r="E202" s="19"/>
      <c r="F202" s="19"/>
    </row>
    <row r="203" spans="5:6" x14ac:dyDescent="0.3">
      <c r="E203" s="19"/>
      <c r="F203" s="19"/>
    </row>
    <row r="204" spans="5:6" x14ac:dyDescent="0.3">
      <c r="E204" s="19"/>
      <c r="F204" s="19"/>
    </row>
    <row r="205" spans="5:6" x14ac:dyDescent="0.3">
      <c r="E205" s="19"/>
      <c r="F205" s="19"/>
    </row>
    <row r="206" spans="5:6" x14ac:dyDescent="0.3">
      <c r="E206" s="19"/>
      <c r="F206" s="19"/>
    </row>
    <row r="207" spans="5:6" x14ac:dyDescent="0.3">
      <c r="E207" s="19"/>
      <c r="F207" s="19"/>
    </row>
    <row r="208" spans="5:6" x14ac:dyDescent="0.3">
      <c r="E208" s="19"/>
      <c r="F208" s="19"/>
    </row>
  </sheetData>
  <sortState xmlns:xlrd2="http://schemas.microsoft.com/office/spreadsheetml/2017/richdata2" ref="A2:C39">
    <sortCondition ref="A2:A39"/>
  </sortState>
  <conditionalFormatting sqref="D2:D39">
    <cfRule type="cellIs" dxfId="2" priority="1" operator="equal">
      <formula>0.02</formula>
    </cfRule>
    <cfRule type="cellIs" dxfId="1" priority="3" operator="lessThan">
      <formula>0.02</formula>
    </cfRule>
    <cfRule type="cellIs" dxfId="0" priority="4" operator="greaterThan">
      <formula>0.02</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9889B-4D0A-415D-8652-21770526E314}">
  <sheetPr>
    <tabColor theme="9" tint="0.39997558519241921"/>
  </sheetPr>
  <dimension ref="A1:F202"/>
  <sheetViews>
    <sheetView workbookViewId="0">
      <selection activeCell="B11" sqref="B11"/>
    </sheetView>
  </sheetViews>
  <sheetFormatPr defaultRowHeight="14.4" x14ac:dyDescent="0.3"/>
  <cols>
    <col min="1" max="1" width="36.88671875" style="7" bestFit="1" customWidth="1"/>
    <col min="2" max="2" width="74.77734375" style="7" bestFit="1" customWidth="1"/>
    <col min="3" max="4" width="8.88671875" style="22"/>
    <col min="5" max="5" width="36.88671875" style="22" bestFit="1" customWidth="1"/>
    <col min="6" max="16384" width="8.88671875" style="22"/>
  </cols>
  <sheetData>
    <row r="1" spans="1:6" ht="19.2" thickBot="1" x14ac:dyDescent="0.5">
      <c r="A1" s="1" t="s">
        <v>362</v>
      </c>
      <c r="B1" s="1"/>
      <c r="E1" s="22" t="s">
        <v>363</v>
      </c>
    </row>
    <row r="2" spans="1:6" x14ac:dyDescent="0.3">
      <c r="A2" s="5" t="s">
        <v>6</v>
      </c>
      <c r="B2" s="5"/>
      <c r="E2" s="22" t="str" cm="1">
        <f t="array" ref="E2:E46">_xlfn.UNIQUE(A2:A201)</f>
        <v>Incorrect information on credit report</v>
      </c>
      <c r="F2" s="22">
        <f>COUNTIF($A$2:$A$201,E2)</f>
        <v>22</v>
      </c>
    </row>
    <row r="3" spans="1:6" x14ac:dyDescent="0.3">
      <c r="A3" s="3" t="s">
        <v>10</v>
      </c>
      <c r="B3" s="3"/>
      <c r="E3" s="22" t="str">
        <v>Disclosure verification of debt</v>
      </c>
      <c r="F3" s="22">
        <f t="shared" ref="F3:F46" si="0">COUNTIF($A$2:$A$201,E3)</f>
        <v>19</v>
      </c>
    </row>
    <row r="4" spans="1:6" x14ac:dyDescent="0.3">
      <c r="A4" s="3" t="s">
        <v>13</v>
      </c>
      <c r="B4" s="3"/>
      <c r="E4" s="22" t="str">
        <v>Other</v>
      </c>
      <c r="F4" s="22">
        <f t="shared" si="0"/>
        <v>5</v>
      </c>
    </row>
    <row r="5" spans="1:6" x14ac:dyDescent="0.3">
      <c r="A5" s="3" t="s">
        <v>16</v>
      </c>
      <c r="B5" s="3"/>
      <c r="E5" s="22" t="str">
        <v>Loan modification,collection,foreclosure</v>
      </c>
      <c r="F5" s="22">
        <f t="shared" si="0"/>
        <v>14</v>
      </c>
    </row>
    <row r="6" spans="1:6" x14ac:dyDescent="0.3">
      <c r="A6" s="3" t="s">
        <v>17</v>
      </c>
      <c r="B6" s="3"/>
      <c r="E6" s="22" t="str">
        <v>Credit determination</v>
      </c>
      <c r="F6" s="22">
        <f t="shared" si="0"/>
        <v>3</v>
      </c>
    </row>
    <row r="7" spans="1:6" x14ac:dyDescent="0.3">
      <c r="A7" s="3" t="s">
        <v>10</v>
      </c>
      <c r="B7" s="3"/>
      <c r="E7" s="22" t="str">
        <v>Loan servicing, payments, escrow account</v>
      </c>
      <c r="F7" s="22">
        <f t="shared" si="0"/>
        <v>22</v>
      </c>
    </row>
    <row r="8" spans="1:6" x14ac:dyDescent="0.3">
      <c r="A8" s="3" t="s">
        <v>19</v>
      </c>
      <c r="B8" s="3" t="str">
        <f>"Moda = "&amp;E2&amp;";"&amp;E7</f>
        <v>Moda = Incorrect information on credit report;Loan servicing, payments, escrow account</v>
      </c>
      <c r="E8" s="22" t="str">
        <v>Making/receiving payments, sending money</v>
      </c>
      <c r="F8" s="22">
        <f t="shared" si="0"/>
        <v>4</v>
      </c>
    </row>
    <row r="9" spans="1:6" x14ac:dyDescent="0.3">
      <c r="A9" s="3" t="s">
        <v>16</v>
      </c>
      <c r="B9" s="3"/>
      <c r="E9" s="22" t="str">
        <v>Settlement process and costs</v>
      </c>
      <c r="F9" s="22">
        <f t="shared" si="0"/>
        <v>1</v>
      </c>
    </row>
    <row r="10" spans="1:6" x14ac:dyDescent="0.3">
      <c r="A10" s="3" t="s">
        <v>22</v>
      </c>
      <c r="B10" s="3"/>
      <c r="E10" s="22" t="str">
        <v>Dealing with my lender or servicer</v>
      </c>
      <c r="F10" s="22">
        <f t="shared" si="0"/>
        <v>5</v>
      </c>
    </row>
    <row r="11" spans="1:6" x14ac:dyDescent="0.3">
      <c r="A11" s="3" t="s">
        <v>24</v>
      </c>
      <c r="B11" s="3"/>
      <c r="E11" s="22" t="str">
        <v>Fraud or scam</v>
      </c>
      <c r="F11" s="22">
        <f t="shared" si="0"/>
        <v>2</v>
      </c>
    </row>
    <row r="12" spans="1:6" x14ac:dyDescent="0.3">
      <c r="A12" s="3" t="s">
        <v>27</v>
      </c>
      <c r="B12" s="3"/>
      <c r="E12" s="22" t="str">
        <v>Account opening, closing, or management</v>
      </c>
      <c r="F12" s="22">
        <f t="shared" si="0"/>
        <v>16</v>
      </c>
    </row>
    <row r="13" spans="1:6" x14ac:dyDescent="0.3">
      <c r="A13" s="3" t="s">
        <v>31</v>
      </c>
      <c r="B13" s="3"/>
      <c r="E13" s="22" t="str">
        <v>Can't repay my loan</v>
      </c>
      <c r="F13" s="22">
        <f t="shared" si="0"/>
        <v>5</v>
      </c>
    </row>
    <row r="14" spans="1:6" x14ac:dyDescent="0.3">
      <c r="A14" s="3" t="s">
        <v>10</v>
      </c>
      <c r="B14" s="3"/>
      <c r="E14" s="22" t="str">
        <v>Problems when you are unable to pay</v>
      </c>
      <c r="F14" s="22">
        <f t="shared" si="0"/>
        <v>4</v>
      </c>
    </row>
    <row r="15" spans="1:6" x14ac:dyDescent="0.3">
      <c r="A15" s="3" t="s">
        <v>16</v>
      </c>
      <c r="B15" s="3"/>
      <c r="E15" s="22" t="str">
        <v>Credit reporting company's investigation</v>
      </c>
      <c r="F15" s="22">
        <f t="shared" si="0"/>
        <v>3</v>
      </c>
    </row>
    <row r="16" spans="1:6" x14ac:dyDescent="0.3">
      <c r="A16" s="3" t="s">
        <v>34</v>
      </c>
      <c r="B16" s="3"/>
      <c r="E16" s="22" t="str">
        <v>Other fee</v>
      </c>
      <c r="F16" s="22">
        <f t="shared" si="0"/>
        <v>2</v>
      </c>
    </row>
    <row r="17" spans="1:6" x14ac:dyDescent="0.3">
      <c r="A17" s="3" t="s">
        <v>19</v>
      </c>
      <c r="B17" s="3"/>
      <c r="E17" s="22" t="str">
        <v>Advertising, marketing or disclosures</v>
      </c>
      <c r="F17" s="22">
        <f t="shared" si="0"/>
        <v>1</v>
      </c>
    </row>
    <row r="18" spans="1:6" x14ac:dyDescent="0.3">
      <c r="A18" s="3" t="s">
        <v>16</v>
      </c>
      <c r="B18" s="3"/>
      <c r="E18" s="22" t="str">
        <v>Improper contact or sharing of info</v>
      </c>
      <c r="F18" s="22">
        <f t="shared" si="0"/>
        <v>3</v>
      </c>
    </row>
    <row r="19" spans="1:6" x14ac:dyDescent="0.3">
      <c r="A19" s="3" t="s">
        <v>34</v>
      </c>
      <c r="B19" s="3"/>
      <c r="E19" s="22" t="str">
        <v>Identity theft / Fraud / Embezzlement</v>
      </c>
      <c r="F19" s="22">
        <f t="shared" si="0"/>
        <v>5</v>
      </c>
    </row>
    <row r="20" spans="1:6" x14ac:dyDescent="0.3">
      <c r="A20" s="3" t="s">
        <v>37</v>
      </c>
      <c r="B20" s="3"/>
      <c r="E20" s="22" t="str">
        <v>Customer service / Customer relations</v>
      </c>
      <c r="F20" s="22">
        <f t="shared" si="0"/>
        <v>1</v>
      </c>
    </row>
    <row r="21" spans="1:6" x14ac:dyDescent="0.3">
      <c r="A21" s="3" t="s">
        <v>41</v>
      </c>
      <c r="B21" s="3"/>
      <c r="E21" s="22" t="str">
        <v>False statements or representation</v>
      </c>
      <c r="F21" s="22">
        <f t="shared" si="0"/>
        <v>1</v>
      </c>
    </row>
    <row r="22" spans="1:6" x14ac:dyDescent="0.3">
      <c r="A22" s="3" t="s">
        <v>41</v>
      </c>
      <c r="B22" s="3"/>
      <c r="E22" s="22" t="str">
        <v>Problems caused by my funds being low</v>
      </c>
      <c r="F22" s="22">
        <f t="shared" si="0"/>
        <v>4</v>
      </c>
    </row>
    <row r="23" spans="1:6" x14ac:dyDescent="0.3">
      <c r="A23" s="3" t="s">
        <v>43</v>
      </c>
      <c r="B23" s="3"/>
      <c r="E23" s="22" t="str">
        <v>Managing, opening, or closing account</v>
      </c>
      <c r="F23" s="22">
        <f t="shared" si="0"/>
        <v>2</v>
      </c>
    </row>
    <row r="24" spans="1:6" x14ac:dyDescent="0.3">
      <c r="A24" s="3" t="s">
        <v>16</v>
      </c>
      <c r="B24" s="3"/>
      <c r="E24" s="22" t="str">
        <v>Deposits and withdrawals</v>
      </c>
      <c r="F24" s="22">
        <f t="shared" si="0"/>
        <v>7</v>
      </c>
    </row>
    <row r="25" spans="1:6" x14ac:dyDescent="0.3">
      <c r="A25" s="3" t="s">
        <v>45</v>
      </c>
      <c r="B25" s="3"/>
      <c r="E25" s="22" t="str">
        <v>Managing the loan or lease</v>
      </c>
      <c r="F25" s="22">
        <f t="shared" si="0"/>
        <v>6</v>
      </c>
    </row>
    <row r="26" spans="1:6" x14ac:dyDescent="0.3">
      <c r="A26" s="3" t="s">
        <v>48</v>
      </c>
      <c r="B26" s="3"/>
      <c r="E26" s="22" t="str">
        <v>APR or interest rate</v>
      </c>
      <c r="F26" s="22">
        <f t="shared" si="0"/>
        <v>2</v>
      </c>
    </row>
    <row r="27" spans="1:6" x14ac:dyDescent="0.3">
      <c r="A27" s="3" t="s">
        <v>49</v>
      </c>
      <c r="B27" s="3"/>
      <c r="E27" s="22" t="str">
        <v>Using a debit or ATM card</v>
      </c>
      <c r="F27" s="22">
        <f t="shared" si="0"/>
        <v>1</v>
      </c>
    </row>
    <row r="28" spans="1:6" x14ac:dyDescent="0.3">
      <c r="A28" s="3" t="s">
        <v>51</v>
      </c>
      <c r="B28" s="3"/>
      <c r="E28" s="22" t="str">
        <v>Application, originator, mortgage broker</v>
      </c>
      <c r="F28" s="22">
        <f t="shared" si="0"/>
        <v>3</v>
      </c>
    </row>
    <row r="29" spans="1:6" x14ac:dyDescent="0.3">
      <c r="A29" s="3" t="s">
        <v>52</v>
      </c>
      <c r="B29" s="3"/>
      <c r="E29" s="22" t="str">
        <v>Balance transfer</v>
      </c>
      <c r="F29" s="22">
        <f t="shared" si="0"/>
        <v>1</v>
      </c>
    </row>
    <row r="30" spans="1:6" x14ac:dyDescent="0.3">
      <c r="A30" s="3" t="s">
        <v>6</v>
      </c>
      <c r="B30" s="3"/>
      <c r="E30" s="22" t="str">
        <v>Customer service/Customer relations</v>
      </c>
      <c r="F30" s="22">
        <f t="shared" si="0"/>
        <v>1</v>
      </c>
    </row>
    <row r="31" spans="1:6" x14ac:dyDescent="0.3">
      <c r="A31" s="3" t="s">
        <v>10</v>
      </c>
      <c r="B31" s="3"/>
      <c r="E31" s="22" t="str">
        <v>Cont'd attempts collect debt not owed</v>
      </c>
      <c r="F31" s="22">
        <f t="shared" si="0"/>
        <v>14</v>
      </c>
    </row>
    <row r="32" spans="1:6" x14ac:dyDescent="0.3">
      <c r="A32" s="3" t="s">
        <v>57</v>
      </c>
      <c r="B32" s="3"/>
      <c r="E32" s="22" t="str">
        <v>Transaction issue</v>
      </c>
      <c r="F32" s="22">
        <f t="shared" si="0"/>
        <v>1</v>
      </c>
    </row>
    <row r="33" spans="1:6" x14ac:dyDescent="0.3">
      <c r="A33" s="3" t="s">
        <v>10</v>
      </c>
      <c r="B33" s="3"/>
      <c r="E33" s="22" t="str">
        <v>Credit monitoring or identity protection</v>
      </c>
      <c r="F33" s="22">
        <f t="shared" si="0"/>
        <v>1</v>
      </c>
    </row>
    <row r="34" spans="1:6" x14ac:dyDescent="0.3">
      <c r="A34" s="3" t="s">
        <v>37</v>
      </c>
      <c r="B34" s="3"/>
      <c r="E34" s="22" t="str">
        <v>Taking out the loan or lease</v>
      </c>
      <c r="F34" s="22">
        <f t="shared" si="0"/>
        <v>2</v>
      </c>
    </row>
    <row r="35" spans="1:6" x14ac:dyDescent="0.3">
      <c r="A35" s="3" t="s">
        <v>10</v>
      </c>
      <c r="B35" s="3"/>
      <c r="E35" s="22" t="str">
        <v>Credit line increase/decrease</v>
      </c>
      <c r="F35" s="22">
        <f t="shared" si="0"/>
        <v>1</v>
      </c>
    </row>
    <row r="36" spans="1:6" x14ac:dyDescent="0.3">
      <c r="A36" s="3" t="s">
        <v>60</v>
      </c>
      <c r="B36" s="3"/>
      <c r="E36" s="22" t="str">
        <v>Communication tactics</v>
      </c>
      <c r="F36" s="22">
        <f t="shared" si="0"/>
        <v>4</v>
      </c>
    </row>
    <row r="37" spans="1:6" x14ac:dyDescent="0.3">
      <c r="A37" s="3" t="s">
        <v>34</v>
      </c>
      <c r="B37" s="3"/>
      <c r="E37" s="22" t="str">
        <v>Billing disputes</v>
      </c>
      <c r="F37" s="22">
        <f t="shared" si="0"/>
        <v>2</v>
      </c>
    </row>
    <row r="38" spans="1:6" x14ac:dyDescent="0.3">
      <c r="A38" s="3" t="s">
        <v>19</v>
      </c>
      <c r="B38" s="3"/>
      <c r="E38" s="22" t="str">
        <v>Bankruptcy</v>
      </c>
      <c r="F38" s="22">
        <f t="shared" si="0"/>
        <v>1</v>
      </c>
    </row>
    <row r="39" spans="1:6" x14ac:dyDescent="0.3">
      <c r="A39" s="3" t="s">
        <v>6</v>
      </c>
      <c r="B39" s="3"/>
      <c r="E39" s="22" t="str">
        <v>Payoff process</v>
      </c>
      <c r="F39" s="22">
        <f t="shared" si="0"/>
        <v>1</v>
      </c>
    </row>
    <row r="40" spans="1:6" x14ac:dyDescent="0.3">
      <c r="A40" s="3" t="s">
        <v>19</v>
      </c>
      <c r="B40" s="3"/>
      <c r="E40" s="22" t="str">
        <v>Taking/threatening an illegal action</v>
      </c>
      <c r="F40" s="22">
        <f t="shared" si="0"/>
        <v>2</v>
      </c>
    </row>
    <row r="41" spans="1:6" x14ac:dyDescent="0.3">
      <c r="A41" s="3" t="s">
        <v>37</v>
      </c>
      <c r="B41" s="3"/>
      <c r="E41" s="22" t="str">
        <v>Money was not available when promised</v>
      </c>
      <c r="F41" s="22">
        <f t="shared" si="0"/>
        <v>1</v>
      </c>
    </row>
    <row r="42" spans="1:6" x14ac:dyDescent="0.3">
      <c r="A42" s="3" t="s">
        <v>62</v>
      </c>
      <c r="B42" s="3"/>
      <c r="E42" s="22" t="str">
        <v>Delinquent account</v>
      </c>
      <c r="F42" s="22">
        <f t="shared" si="0"/>
        <v>1</v>
      </c>
    </row>
    <row r="43" spans="1:6" x14ac:dyDescent="0.3">
      <c r="A43" s="3" t="s">
        <v>13</v>
      </c>
      <c r="B43" s="3"/>
      <c r="E43" s="22" t="str">
        <v>Applied for loan/did not receive money</v>
      </c>
      <c r="F43" s="22">
        <f t="shared" si="0"/>
        <v>1</v>
      </c>
    </row>
    <row r="44" spans="1:6" x14ac:dyDescent="0.3">
      <c r="A44" s="3" t="s">
        <v>6</v>
      </c>
      <c r="B44" s="3"/>
      <c r="E44" s="22" t="str">
        <v>Improper use of my credit report</v>
      </c>
      <c r="F44" s="22">
        <f t="shared" si="0"/>
        <v>1</v>
      </c>
    </row>
    <row r="45" spans="1:6" x14ac:dyDescent="0.3">
      <c r="A45" s="3" t="s">
        <v>19</v>
      </c>
      <c r="B45" s="3"/>
      <c r="E45" s="22" t="str">
        <v>Advertising and marketing</v>
      </c>
      <c r="F45" s="22">
        <f t="shared" si="0"/>
        <v>1</v>
      </c>
    </row>
    <row r="46" spans="1:6" x14ac:dyDescent="0.3">
      <c r="A46" s="3" t="s">
        <v>19</v>
      </c>
      <c r="B46" s="3"/>
      <c r="E46" s="22" t="str">
        <v>Lost or stolen money order</v>
      </c>
      <c r="F46" s="22">
        <f t="shared" si="0"/>
        <v>1</v>
      </c>
    </row>
    <row r="47" spans="1:6" x14ac:dyDescent="0.3">
      <c r="A47" s="3" t="s">
        <v>16</v>
      </c>
      <c r="B47" s="3"/>
    </row>
    <row r="48" spans="1:6" x14ac:dyDescent="0.3">
      <c r="A48" s="3" t="s">
        <v>60</v>
      </c>
      <c r="B48" s="3"/>
    </row>
    <row r="49" spans="1:2" x14ac:dyDescent="0.3">
      <c r="A49" s="3" t="s">
        <v>64</v>
      </c>
      <c r="B49" s="3"/>
    </row>
    <row r="50" spans="1:2" x14ac:dyDescent="0.3">
      <c r="A50" s="3" t="s">
        <v>13</v>
      </c>
      <c r="B50" s="3"/>
    </row>
    <row r="51" spans="1:2" x14ac:dyDescent="0.3">
      <c r="A51" s="3" t="s">
        <v>6</v>
      </c>
      <c r="B51" s="3"/>
    </row>
    <row r="52" spans="1:2" x14ac:dyDescent="0.3">
      <c r="A52" s="3" t="s">
        <v>65</v>
      </c>
      <c r="B52" s="3"/>
    </row>
    <row r="53" spans="1:2" x14ac:dyDescent="0.3">
      <c r="A53" s="3" t="s">
        <v>66</v>
      </c>
      <c r="B53" s="3"/>
    </row>
    <row r="54" spans="1:2" x14ac:dyDescent="0.3">
      <c r="A54" s="3" t="s">
        <v>10</v>
      </c>
      <c r="B54" s="3"/>
    </row>
    <row r="55" spans="1:2" x14ac:dyDescent="0.3">
      <c r="A55" s="3" t="s">
        <v>6</v>
      </c>
      <c r="B55" s="3"/>
    </row>
    <row r="56" spans="1:2" x14ac:dyDescent="0.3">
      <c r="A56" s="3" t="s">
        <v>6</v>
      </c>
      <c r="B56" s="3"/>
    </row>
    <row r="57" spans="1:2" x14ac:dyDescent="0.3">
      <c r="A57" s="3" t="s">
        <v>22</v>
      </c>
      <c r="B57" s="3"/>
    </row>
    <row r="58" spans="1:2" x14ac:dyDescent="0.3">
      <c r="A58" s="3" t="s">
        <v>16</v>
      </c>
      <c r="B58" s="3"/>
    </row>
    <row r="59" spans="1:2" x14ac:dyDescent="0.3">
      <c r="A59" s="3" t="s">
        <v>13</v>
      </c>
      <c r="B59" s="3"/>
    </row>
    <row r="60" spans="1:2" x14ac:dyDescent="0.3">
      <c r="A60" s="3" t="s">
        <v>34</v>
      </c>
      <c r="B60" s="3"/>
    </row>
    <row r="61" spans="1:2" x14ac:dyDescent="0.3">
      <c r="A61" s="3" t="s">
        <v>60</v>
      </c>
      <c r="B61" s="3"/>
    </row>
    <row r="62" spans="1:2" x14ac:dyDescent="0.3">
      <c r="A62" s="3" t="s">
        <v>6</v>
      </c>
      <c r="B62" s="3"/>
    </row>
    <row r="63" spans="1:2" x14ac:dyDescent="0.3">
      <c r="A63" s="3" t="s">
        <v>16</v>
      </c>
      <c r="B63" s="3"/>
    </row>
    <row r="64" spans="1:2" x14ac:dyDescent="0.3">
      <c r="A64" s="3" t="s">
        <v>64</v>
      </c>
      <c r="B64" s="3"/>
    </row>
    <row r="65" spans="1:2" x14ac:dyDescent="0.3">
      <c r="A65" s="3" t="s">
        <v>70</v>
      </c>
      <c r="B65" s="3"/>
    </row>
    <row r="66" spans="1:2" x14ac:dyDescent="0.3">
      <c r="A66" s="3" t="s">
        <v>71</v>
      </c>
      <c r="B66" s="3"/>
    </row>
    <row r="67" spans="1:2" x14ac:dyDescent="0.3">
      <c r="A67" s="3" t="s">
        <v>72</v>
      </c>
      <c r="B67" s="3"/>
    </row>
    <row r="68" spans="1:2" x14ac:dyDescent="0.3">
      <c r="A68" s="3" t="s">
        <v>51</v>
      </c>
      <c r="B68" s="3"/>
    </row>
    <row r="69" spans="1:2" x14ac:dyDescent="0.3">
      <c r="A69" s="3" t="s">
        <v>13</v>
      </c>
      <c r="B69" s="3"/>
    </row>
    <row r="70" spans="1:2" x14ac:dyDescent="0.3">
      <c r="A70" s="3" t="s">
        <v>10</v>
      </c>
      <c r="B70" s="3"/>
    </row>
    <row r="71" spans="1:2" x14ac:dyDescent="0.3">
      <c r="A71" s="3" t="s">
        <v>75</v>
      </c>
      <c r="B71" s="3"/>
    </row>
    <row r="72" spans="1:2" x14ac:dyDescent="0.3">
      <c r="A72" s="3" t="s">
        <v>17</v>
      </c>
      <c r="B72" s="3"/>
    </row>
    <row r="73" spans="1:2" x14ac:dyDescent="0.3">
      <c r="A73" s="3" t="s">
        <v>76</v>
      </c>
      <c r="B73" s="3"/>
    </row>
    <row r="74" spans="1:2" x14ac:dyDescent="0.3">
      <c r="A74" s="3" t="s">
        <v>64</v>
      </c>
      <c r="B74" s="3"/>
    </row>
    <row r="75" spans="1:2" x14ac:dyDescent="0.3">
      <c r="A75" s="3" t="s">
        <v>19</v>
      </c>
      <c r="B75" s="3"/>
    </row>
    <row r="76" spans="1:2" x14ac:dyDescent="0.3">
      <c r="A76" s="3" t="s">
        <v>10</v>
      </c>
      <c r="B76" s="3"/>
    </row>
    <row r="77" spans="1:2" x14ac:dyDescent="0.3">
      <c r="A77" s="3" t="s">
        <v>78</v>
      </c>
      <c r="B77" s="3"/>
    </row>
    <row r="78" spans="1:2" x14ac:dyDescent="0.3">
      <c r="A78" s="3" t="s">
        <v>65</v>
      </c>
      <c r="B78" s="3"/>
    </row>
    <row r="79" spans="1:2" x14ac:dyDescent="0.3">
      <c r="A79" s="3" t="s">
        <v>79</v>
      </c>
      <c r="B79" s="3"/>
    </row>
    <row r="80" spans="1:2" x14ac:dyDescent="0.3">
      <c r="A80" s="3" t="s">
        <v>6</v>
      </c>
      <c r="B80" s="3"/>
    </row>
    <row r="81" spans="1:2" x14ac:dyDescent="0.3">
      <c r="A81" s="3" t="s">
        <v>34</v>
      </c>
      <c r="B81" s="3"/>
    </row>
    <row r="82" spans="1:2" x14ac:dyDescent="0.3">
      <c r="A82" s="3" t="s">
        <v>19</v>
      </c>
      <c r="B82" s="3"/>
    </row>
    <row r="83" spans="1:2" x14ac:dyDescent="0.3">
      <c r="A83" s="3" t="s">
        <v>6</v>
      </c>
      <c r="B83" s="3"/>
    </row>
    <row r="84" spans="1:2" x14ac:dyDescent="0.3">
      <c r="A84" s="3" t="s">
        <v>41</v>
      </c>
      <c r="B84" s="3"/>
    </row>
    <row r="85" spans="1:2" x14ac:dyDescent="0.3">
      <c r="A85" s="3" t="s">
        <v>45</v>
      </c>
      <c r="B85" s="3"/>
    </row>
    <row r="86" spans="1:2" x14ac:dyDescent="0.3">
      <c r="A86" s="3" t="s">
        <v>82</v>
      </c>
      <c r="B86" s="3"/>
    </row>
    <row r="87" spans="1:2" x14ac:dyDescent="0.3">
      <c r="A87" s="3" t="s">
        <v>6</v>
      </c>
      <c r="B87" s="3"/>
    </row>
    <row r="88" spans="1:2" x14ac:dyDescent="0.3">
      <c r="A88" s="3" t="s">
        <v>76</v>
      </c>
      <c r="B88" s="3"/>
    </row>
    <row r="89" spans="1:2" x14ac:dyDescent="0.3">
      <c r="A89" s="3" t="s">
        <v>76</v>
      </c>
      <c r="B89" s="3"/>
    </row>
    <row r="90" spans="1:2" x14ac:dyDescent="0.3">
      <c r="A90" s="3" t="s">
        <v>76</v>
      </c>
      <c r="B90" s="3"/>
    </row>
    <row r="91" spans="1:2" x14ac:dyDescent="0.3">
      <c r="A91" s="3" t="s">
        <v>51</v>
      </c>
      <c r="B91" s="3"/>
    </row>
    <row r="92" spans="1:2" x14ac:dyDescent="0.3">
      <c r="A92" s="3" t="s">
        <v>84</v>
      </c>
      <c r="B92" s="3"/>
    </row>
    <row r="93" spans="1:2" x14ac:dyDescent="0.3">
      <c r="A93" s="3" t="s">
        <v>27</v>
      </c>
      <c r="B93" s="3"/>
    </row>
    <row r="94" spans="1:2" x14ac:dyDescent="0.3">
      <c r="A94" s="3" t="s">
        <v>76</v>
      </c>
      <c r="B94" s="3"/>
    </row>
    <row r="95" spans="1:2" x14ac:dyDescent="0.3">
      <c r="A95" s="3" t="s">
        <v>16</v>
      </c>
      <c r="B95" s="3"/>
    </row>
    <row r="96" spans="1:2" x14ac:dyDescent="0.3">
      <c r="A96" s="3" t="s">
        <v>87</v>
      </c>
      <c r="B96" s="3"/>
    </row>
    <row r="97" spans="1:2" x14ac:dyDescent="0.3">
      <c r="A97" s="3" t="s">
        <v>82</v>
      </c>
      <c r="B97" s="3"/>
    </row>
    <row r="98" spans="1:2" x14ac:dyDescent="0.3">
      <c r="A98" s="3" t="s">
        <v>34</v>
      </c>
      <c r="B98" s="3"/>
    </row>
    <row r="99" spans="1:2" x14ac:dyDescent="0.3">
      <c r="A99" s="3" t="s">
        <v>19</v>
      </c>
      <c r="B99" s="3"/>
    </row>
    <row r="100" spans="1:2" x14ac:dyDescent="0.3">
      <c r="A100" s="3" t="s">
        <v>90</v>
      </c>
      <c r="B100" s="3"/>
    </row>
    <row r="101" spans="1:2" x14ac:dyDescent="0.3">
      <c r="A101" s="3" t="s">
        <v>91</v>
      </c>
      <c r="B101" s="3"/>
    </row>
    <row r="102" spans="1:2" x14ac:dyDescent="0.3">
      <c r="A102" s="3" t="s">
        <v>49</v>
      </c>
      <c r="B102" s="3"/>
    </row>
    <row r="103" spans="1:2" x14ac:dyDescent="0.3">
      <c r="A103" s="3" t="s">
        <v>34</v>
      </c>
      <c r="B103" s="3"/>
    </row>
    <row r="104" spans="1:2" x14ac:dyDescent="0.3">
      <c r="A104" s="3" t="s">
        <v>34</v>
      </c>
      <c r="B104" s="3"/>
    </row>
    <row r="105" spans="1:2" x14ac:dyDescent="0.3">
      <c r="A105" s="3" t="s">
        <v>34</v>
      </c>
      <c r="B105" s="3"/>
    </row>
    <row r="106" spans="1:2" x14ac:dyDescent="0.3">
      <c r="A106" s="3" t="s">
        <v>19</v>
      </c>
      <c r="B106" s="3"/>
    </row>
    <row r="107" spans="1:2" x14ac:dyDescent="0.3">
      <c r="A107" s="3" t="s">
        <v>10</v>
      </c>
      <c r="B107" s="3"/>
    </row>
    <row r="108" spans="1:2" x14ac:dyDescent="0.3">
      <c r="A108" s="3" t="s">
        <v>34</v>
      </c>
      <c r="B108" s="3"/>
    </row>
    <row r="109" spans="1:2" x14ac:dyDescent="0.3">
      <c r="A109" s="3" t="s">
        <v>43</v>
      </c>
      <c r="B109" s="3"/>
    </row>
    <row r="110" spans="1:2" x14ac:dyDescent="0.3">
      <c r="A110" s="3" t="s">
        <v>76</v>
      </c>
      <c r="B110" s="3"/>
    </row>
    <row r="111" spans="1:2" x14ac:dyDescent="0.3">
      <c r="A111" s="3" t="s">
        <v>6</v>
      </c>
      <c r="B111" s="3"/>
    </row>
    <row r="112" spans="1:2" x14ac:dyDescent="0.3">
      <c r="A112" s="3" t="s">
        <v>6</v>
      </c>
      <c r="B112" s="3"/>
    </row>
    <row r="113" spans="1:2" x14ac:dyDescent="0.3">
      <c r="A113" s="3" t="s">
        <v>10</v>
      </c>
      <c r="B113" s="3"/>
    </row>
    <row r="114" spans="1:2" x14ac:dyDescent="0.3">
      <c r="A114" s="3" t="s">
        <v>19</v>
      </c>
      <c r="B114" s="3"/>
    </row>
    <row r="115" spans="1:2" x14ac:dyDescent="0.3">
      <c r="A115" s="3" t="s">
        <v>19</v>
      </c>
      <c r="B115" s="3"/>
    </row>
    <row r="116" spans="1:2" x14ac:dyDescent="0.3">
      <c r="A116" s="3" t="s">
        <v>19</v>
      </c>
      <c r="B116" s="3"/>
    </row>
    <row r="117" spans="1:2" x14ac:dyDescent="0.3">
      <c r="A117" s="3" t="s">
        <v>60</v>
      </c>
      <c r="B117" s="3"/>
    </row>
    <row r="118" spans="1:2" x14ac:dyDescent="0.3">
      <c r="A118" s="3" t="s">
        <v>65</v>
      </c>
      <c r="B118" s="3"/>
    </row>
    <row r="119" spans="1:2" x14ac:dyDescent="0.3">
      <c r="A119" s="3" t="s">
        <v>16</v>
      </c>
      <c r="B119" s="3"/>
    </row>
    <row r="120" spans="1:2" x14ac:dyDescent="0.3">
      <c r="A120" s="3" t="s">
        <v>71</v>
      </c>
      <c r="B120" s="3"/>
    </row>
    <row r="121" spans="1:2" x14ac:dyDescent="0.3">
      <c r="A121" s="3" t="s">
        <v>95</v>
      </c>
      <c r="B121" s="3"/>
    </row>
    <row r="122" spans="1:2" x14ac:dyDescent="0.3">
      <c r="A122" s="3" t="s">
        <v>6</v>
      </c>
      <c r="B122" s="3"/>
    </row>
    <row r="123" spans="1:2" x14ac:dyDescent="0.3">
      <c r="A123" s="3" t="s">
        <v>71</v>
      </c>
      <c r="B123" s="3"/>
    </row>
    <row r="124" spans="1:2" x14ac:dyDescent="0.3">
      <c r="A124" s="3" t="s">
        <v>10</v>
      </c>
      <c r="B124" s="3"/>
    </row>
    <row r="125" spans="1:2" x14ac:dyDescent="0.3">
      <c r="A125" s="3" t="s">
        <v>22</v>
      </c>
      <c r="B125" s="3"/>
    </row>
    <row r="126" spans="1:2" x14ac:dyDescent="0.3">
      <c r="A126" s="3" t="s">
        <v>16</v>
      </c>
      <c r="B126" s="3"/>
    </row>
    <row r="127" spans="1:2" x14ac:dyDescent="0.3">
      <c r="A127" s="3" t="s">
        <v>10</v>
      </c>
      <c r="B127" s="3"/>
    </row>
    <row r="128" spans="1:2" x14ac:dyDescent="0.3">
      <c r="A128" s="3" t="s">
        <v>96</v>
      </c>
      <c r="B128" s="3"/>
    </row>
    <row r="129" spans="1:2" x14ac:dyDescent="0.3">
      <c r="A129" s="3" t="s">
        <v>37</v>
      </c>
      <c r="B129" s="3"/>
    </row>
    <row r="130" spans="1:2" x14ac:dyDescent="0.3">
      <c r="A130" s="3" t="s">
        <v>62</v>
      </c>
      <c r="B130" s="3"/>
    </row>
    <row r="131" spans="1:2" x14ac:dyDescent="0.3">
      <c r="A131" s="3" t="s">
        <v>16</v>
      </c>
      <c r="B131" s="3"/>
    </row>
    <row r="132" spans="1:2" x14ac:dyDescent="0.3">
      <c r="A132" s="3" t="s">
        <v>76</v>
      </c>
      <c r="B132" s="3"/>
    </row>
    <row r="133" spans="1:2" x14ac:dyDescent="0.3">
      <c r="A133" s="3" t="s">
        <v>6</v>
      </c>
      <c r="B133" s="3"/>
    </row>
    <row r="134" spans="1:2" x14ac:dyDescent="0.3">
      <c r="A134" s="3" t="s">
        <v>65</v>
      </c>
      <c r="B134" s="3"/>
    </row>
    <row r="135" spans="1:2" x14ac:dyDescent="0.3">
      <c r="A135" s="3" t="s">
        <v>10</v>
      </c>
      <c r="B135" s="3"/>
    </row>
    <row r="136" spans="1:2" x14ac:dyDescent="0.3">
      <c r="A136" s="3" t="s">
        <v>10</v>
      </c>
      <c r="B136" s="3"/>
    </row>
    <row r="137" spans="1:2" x14ac:dyDescent="0.3">
      <c r="A137" s="3" t="s">
        <v>65</v>
      </c>
      <c r="B137" s="3"/>
    </row>
    <row r="138" spans="1:2" x14ac:dyDescent="0.3">
      <c r="A138" s="3" t="s">
        <v>64</v>
      </c>
      <c r="B138" s="3"/>
    </row>
    <row r="139" spans="1:2" x14ac:dyDescent="0.3">
      <c r="A139" s="3" t="s">
        <v>10</v>
      </c>
      <c r="B139" s="3"/>
    </row>
    <row r="140" spans="1:2" x14ac:dyDescent="0.3">
      <c r="A140" s="3" t="s">
        <v>34</v>
      </c>
      <c r="B140" s="3"/>
    </row>
    <row r="141" spans="1:2" x14ac:dyDescent="0.3">
      <c r="A141" s="3" t="s">
        <v>100</v>
      </c>
      <c r="B141" s="3"/>
    </row>
    <row r="142" spans="1:2" x14ac:dyDescent="0.3">
      <c r="A142" s="3" t="s">
        <v>27</v>
      </c>
      <c r="B142" s="3"/>
    </row>
    <row r="143" spans="1:2" x14ac:dyDescent="0.3">
      <c r="A143" s="3" t="s">
        <v>43</v>
      </c>
      <c r="B143" s="3"/>
    </row>
    <row r="144" spans="1:2" x14ac:dyDescent="0.3">
      <c r="A144" s="3" t="s">
        <v>6</v>
      </c>
      <c r="B144" s="3"/>
    </row>
    <row r="145" spans="1:2" x14ac:dyDescent="0.3">
      <c r="A145" s="3" t="s">
        <v>31</v>
      </c>
      <c r="B145" s="3"/>
    </row>
    <row r="146" spans="1:2" x14ac:dyDescent="0.3">
      <c r="A146" s="3" t="s">
        <v>17</v>
      </c>
      <c r="B146" s="3"/>
    </row>
    <row r="147" spans="1:2" x14ac:dyDescent="0.3">
      <c r="A147" s="3" t="s">
        <v>6</v>
      </c>
      <c r="B147" s="3"/>
    </row>
    <row r="148" spans="1:2" x14ac:dyDescent="0.3">
      <c r="A148" s="3" t="s">
        <v>22</v>
      </c>
      <c r="B148" s="3"/>
    </row>
    <row r="149" spans="1:2" x14ac:dyDescent="0.3">
      <c r="A149" s="3" t="s">
        <v>104</v>
      </c>
      <c r="B149" s="3"/>
    </row>
    <row r="150" spans="1:2" x14ac:dyDescent="0.3">
      <c r="A150" s="3" t="s">
        <v>6</v>
      </c>
      <c r="B150" s="3"/>
    </row>
    <row r="151" spans="1:2" x14ac:dyDescent="0.3">
      <c r="A151" s="3" t="s">
        <v>64</v>
      </c>
      <c r="B151" s="3"/>
    </row>
    <row r="152" spans="1:2" x14ac:dyDescent="0.3">
      <c r="A152" s="3" t="s">
        <v>27</v>
      </c>
      <c r="B152" s="3"/>
    </row>
    <row r="153" spans="1:2" x14ac:dyDescent="0.3">
      <c r="A153" s="3" t="s">
        <v>19</v>
      </c>
      <c r="B153" s="3"/>
    </row>
    <row r="154" spans="1:2" x14ac:dyDescent="0.3">
      <c r="A154" s="3" t="s">
        <v>34</v>
      </c>
      <c r="B154" s="3"/>
    </row>
    <row r="155" spans="1:2" x14ac:dyDescent="0.3">
      <c r="A155" s="3" t="s">
        <v>10</v>
      </c>
      <c r="B155" s="3"/>
    </row>
    <row r="156" spans="1:2" x14ac:dyDescent="0.3">
      <c r="A156" s="3" t="s">
        <v>107</v>
      </c>
      <c r="B156" s="3"/>
    </row>
    <row r="157" spans="1:2" x14ac:dyDescent="0.3">
      <c r="A157" s="3" t="s">
        <v>19</v>
      </c>
      <c r="B157" s="3"/>
    </row>
    <row r="158" spans="1:2" x14ac:dyDescent="0.3">
      <c r="A158" s="3" t="s">
        <v>6</v>
      </c>
      <c r="B158" s="3"/>
    </row>
    <row r="159" spans="1:2" x14ac:dyDescent="0.3">
      <c r="A159" s="3" t="s">
        <v>19</v>
      </c>
      <c r="B159" s="3"/>
    </row>
    <row r="160" spans="1:2" x14ac:dyDescent="0.3">
      <c r="A160" s="3" t="s">
        <v>19</v>
      </c>
      <c r="B160" s="3"/>
    </row>
    <row r="161" spans="1:2" x14ac:dyDescent="0.3">
      <c r="A161" s="3" t="s">
        <v>51</v>
      </c>
      <c r="B161" s="3"/>
    </row>
    <row r="162" spans="1:2" x14ac:dyDescent="0.3">
      <c r="A162" s="3" t="s">
        <v>6</v>
      </c>
      <c r="B162" s="3"/>
    </row>
    <row r="163" spans="1:2" x14ac:dyDescent="0.3">
      <c r="A163" s="3" t="s">
        <v>76</v>
      </c>
      <c r="B163" s="3"/>
    </row>
    <row r="164" spans="1:2" x14ac:dyDescent="0.3">
      <c r="A164" s="3" t="s">
        <v>19</v>
      </c>
      <c r="B164" s="3"/>
    </row>
    <row r="165" spans="1:2" x14ac:dyDescent="0.3">
      <c r="A165" s="3" t="s">
        <v>16</v>
      </c>
      <c r="B165" s="3"/>
    </row>
    <row r="166" spans="1:2" x14ac:dyDescent="0.3">
      <c r="A166" s="3" t="s">
        <v>19</v>
      </c>
      <c r="B166" s="3"/>
    </row>
    <row r="167" spans="1:2" x14ac:dyDescent="0.3">
      <c r="A167" s="3" t="s">
        <v>10</v>
      </c>
      <c r="B167" s="3"/>
    </row>
    <row r="168" spans="1:2" x14ac:dyDescent="0.3">
      <c r="A168" s="3" t="s">
        <v>27</v>
      </c>
      <c r="B168" s="3"/>
    </row>
    <row r="169" spans="1:2" x14ac:dyDescent="0.3">
      <c r="A169" s="3" t="s">
        <v>49</v>
      </c>
      <c r="B169" s="3"/>
    </row>
    <row r="170" spans="1:2" x14ac:dyDescent="0.3">
      <c r="A170" s="3" t="s">
        <v>76</v>
      </c>
      <c r="B170" s="3"/>
    </row>
    <row r="171" spans="1:2" x14ac:dyDescent="0.3">
      <c r="A171" s="3" t="s">
        <v>34</v>
      </c>
      <c r="B171" s="3"/>
    </row>
    <row r="172" spans="1:2" x14ac:dyDescent="0.3">
      <c r="A172" s="3" t="s">
        <v>96</v>
      </c>
      <c r="B172" s="3"/>
    </row>
    <row r="173" spans="1:2" x14ac:dyDescent="0.3">
      <c r="A173" s="3" t="s">
        <v>87</v>
      </c>
      <c r="B173" s="3"/>
    </row>
    <row r="174" spans="1:2" x14ac:dyDescent="0.3">
      <c r="A174" s="3" t="s">
        <v>64</v>
      </c>
      <c r="B174" s="3"/>
    </row>
    <row r="175" spans="1:2" x14ac:dyDescent="0.3">
      <c r="A175" s="3" t="s">
        <v>10</v>
      </c>
      <c r="B175" s="3"/>
    </row>
    <row r="176" spans="1:2" x14ac:dyDescent="0.3">
      <c r="A176" s="3" t="s">
        <v>90</v>
      </c>
      <c r="B176" s="3"/>
    </row>
    <row r="177" spans="1:2" x14ac:dyDescent="0.3">
      <c r="A177" s="3" t="s">
        <v>76</v>
      </c>
      <c r="B177" s="3"/>
    </row>
    <row r="178" spans="1:2" x14ac:dyDescent="0.3">
      <c r="A178" s="3" t="s">
        <v>111</v>
      </c>
      <c r="B178" s="3"/>
    </row>
    <row r="179" spans="1:2" x14ac:dyDescent="0.3">
      <c r="A179" s="3" t="s">
        <v>16</v>
      </c>
      <c r="B179" s="3"/>
    </row>
    <row r="180" spans="1:2" x14ac:dyDescent="0.3">
      <c r="A180" s="3" t="s">
        <v>19</v>
      </c>
      <c r="B180" s="3"/>
    </row>
    <row r="181" spans="1:2" x14ac:dyDescent="0.3">
      <c r="A181" s="3" t="s">
        <v>6</v>
      </c>
      <c r="B181" s="3"/>
    </row>
    <row r="182" spans="1:2" x14ac:dyDescent="0.3">
      <c r="A182" s="3" t="s">
        <v>113</v>
      </c>
      <c r="B182" s="3"/>
    </row>
    <row r="183" spans="1:2" x14ac:dyDescent="0.3">
      <c r="A183" s="3" t="s">
        <v>76</v>
      </c>
      <c r="B183" s="3"/>
    </row>
    <row r="184" spans="1:2" x14ac:dyDescent="0.3">
      <c r="A184" s="3" t="s">
        <v>19</v>
      </c>
      <c r="B184" s="3"/>
    </row>
    <row r="185" spans="1:2" x14ac:dyDescent="0.3">
      <c r="A185" s="3" t="s">
        <v>41</v>
      </c>
      <c r="B185" s="3"/>
    </row>
    <row r="186" spans="1:2" x14ac:dyDescent="0.3">
      <c r="A186" s="3" t="s">
        <v>34</v>
      </c>
      <c r="B186" s="3"/>
    </row>
    <row r="187" spans="1:2" x14ac:dyDescent="0.3">
      <c r="A187" s="3" t="s">
        <v>64</v>
      </c>
      <c r="B187" s="3"/>
    </row>
    <row r="188" spans="1:2" x14ac:dyDescent="0.3">
      <c r="A188" s="3" t="s">
        <v>87</v>
      </c>
      <c r="B188" s="3"/>
    </row>
    <row r="189" spans="1:2" x14ac:dyDescent="0.3">
      <c r="A189" s="3" t="s">
        <v>115</v>
      </c>
      <c r="B189" s="3"/>
    </row>
    <row r="190" spans="1:2" x14ac:dyDescent="0.3">
      <c r="A190" s="3" t="s">
        <v>34</v>
      </c>
      <c r="B190" s="3"/>
    </row>
    <row r="191" spans="1:2" x14ac:dyDescent="0.3">
      <c r="A191" s="3" t="s">
        <v>76</v>
      </c>
      <c r="B191" s="3"/>
    </row>
    <row r="192" spans="1:2" x14ac:dyDescent="0.3">
      <c r="A192" s="3" t="s">
        <v>51</v>
      </c>
      <c r="B192" s="3"/>
    </row>
    <row r="193" spans="1:2" x14ac:dyDescent="0.3">
      <c r="A193" s="3" t="s">
        <v>37</v>
      </c>
      <c r="B193" s="3"/>
    </row>
    <row r="194" spans="1:2" x14ac:dyDescent="0.3">
      <c r="A194" s="3" t="s">
        <v>66</v>
      </c>
      <c r="B194" s="3"/>
    </row>
    <row r="195" spans="1:2" x14ac:dyDescent="0.3">
      <c r="A195" s="3" t="s">
        <v>87</v>
      </c>
      <c r="B195" s="3"/>
    </row>
    <row r="196" spans="1:2" x14ac:dyDescent="0.3">
      <c r="A196" s="3" t="s">
        <v>65</v>
      </c>
      <c r="B196" s="3"/>
    </row>
    <row r="197" spans="1:2" x14ac:dyDescent="0.3">
      <c r="A197" s="3" t="s">
        <v>76</v>
      </c>
      <c r="B197" s="3"/>
    </row>
    <row r="198" spans="1:2" x14ac:dyDescent="0.3">
      <c r="A198" s="3" t="s">
        <v>34</v>
      </c>
      <c r="B198" s="3"/>
    </row>
    <row r="199" spans="1:2" x14ac:dyDescent="0.3">
      <c r="A199" s="3" t="s">
        <v>76</v>
      </c>
      <c r="B199" s="3"/>
    </row>
    <row r="200" spans="1:2" x14ac:dyDescent="0.3">
      <c r="A200" s="3" t="s">
        <v>19</v>
      </c>
      <c r="B200" s="3"/>
    </row>
    <row r="201" spans="1:2" x14ac:dyDescent="0.3">
      <c r="A201" s="3" t="s">
        <v>6</v>
      </c>
      <c r="B201" s="3"/>
    </row>
    <row r="202" spans="1:2" x14ac:dyDescent="0.3">
      <c r="B20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Consumer Complaints</vt:lpstr>
      <vt:lpstr>Geographical Insights</vt:lpstr>
      <vt:lpstr>Statistical 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wanda de bonis</dc:creator>
  <cp:lastModifiedBy>abderahmane lakbuichy</cp:lastModifiedBy>
  <dcterms:created xsi:type="dcterms:W3CDTF">2015-06-05T18:17:20Z</dcterms:created>
  <dcterms:modified xsi:type="dcterms:W3CDTF">2025-07-06T10:16:33Z</dcterms:modified>
</cp:coreProperties>
</file>