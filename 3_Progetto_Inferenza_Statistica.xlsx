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bderrahmane\Dropbox\PC\Downloads\PROFESSION  AI\PROGETTI\"/>
    </mc:Choice>
  </mc:AlternateContent>
  <xr:revisionPtr revIDLastSave="0" documentId="13_ncr:1_{CDB6752D-24A8-484E-AF6C-3197D80A0994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Parameters" sheetId="1" r:id="rId1"/>
    <sheet name="Data" sheetId="2" r:id="rId2"/>
    <sheet name="Sample" sheetId="3" r:id="rId3"/>
    <sheet name="Statistical Insight" sheetId="4" r:id="rId4"/>
    <sheet name="(Un)correlated Variables" sheetId="5" r:id="rId5"/>
    <sheet name="Linear Regression" sheetId="6" r:id="rId6"/>
  </sheets>
  <definedNames>
    <definedName name="_xlnm._FilterDatabase" localSheetId="2" hidden="1">Sample!$A$1:$C$251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DU8" i="5"/>
  <c r="AF7" i="5"/>
  <c r="AF4" i="5"/>
  <c r="DU4" i="5"/>
  <c r="T4" i="5"/>
  <c r="F4" i="5"/>
  <c r="CD4" i="5"/>
  <c r="AC46" i="5"/>
  <c r="B3" i="2"/>
  <c r="B3" i="3" s="1"/>
  <c r="B4" i="2"/>
  <c r="B4" i="3" s="1"/>
  <c r="B5" i="2"/>
  <c r="B5" i="3" s="1"/>
  <c r="B6" i="2"/>
  <c r="B6" i="3" s="1"/>
  <c r="B7" i="2"/>
  <c r="B7" i="3" s="1"/>
  <c r="B8" i="2"/>
  <c r="B8" i="3" s="1"/>
  <c r="B9" i="2"/>
  <c r="B9" i="3" s="1"/>
  <c r="B10" i="2"/>
  <c r="B10" i="3" s="1"/>
  <c r="B11" i="2"/>
  <c r="B11" i="3" s="1"/>
  <c r="B12" i="2"/>
  <c r="B12" i="3" s="1"/>
  <c r="B13" i="2"/>
  <c r="B13" i="3" s="1"/>
  <c r="B14" i="2"/>
  <c r="B14" i="3" s="1"/>
  <c r="B15" i="2"/>
  <c r="B15" i="3" s="1"/>
  <c r="B16" i="2"/>
  <c r="B16" i="3" s="1"/>
  <c r="B17" i="2"/>
  <c r="B17" i="3" s="1"/>
  <c r="B18" i="2"/>
  <c r="B18" i="3" s="1"/>
  <c r="B19" i="2"/>
  <c r="B19" i="3" s="1"/>
  <c r="B20" i="2"/>
  <c r="B20" i="3" s="1"/>
  <c r="B21" i="2"/>
  <c r="B21" i="3" s="1"/>
  <c r="B22" i="2"/>
  <c r="B22" i="3" s="1"/>
  <c r="B23" i="2"/>
  <c r="B23" i="3" s="1"/>
  <c r="B24" i="2"/>
  <c r="B24" i="3" s="1"/>
  <c r="B25" i="2"/>
  <c r="B25" i="3" s="1"/>
  <c r="B26" i="2"/>
  <c r="B26" i="3" s="1"/>
  <c r="B27" i="2"/>
  <c r="B27" i="3" s="1"/>
  <c r="B28" i="2"/>
  <c r="B28" i="3" s="1"/>
  <c r="B29" i="2"/>
  <c r="B29" i="3" s="1"/>
  <c r="B30" i="2"/>
  <c r="B30" i="3" s="1"/>
  <c r="B31" i="2"/>
  <c r="B31" i="3" s="1"/>
  <c r="B32" i="2"/>
  <c r="B32" i="3" s="1"/>
  <c r="B33" i="2"/>
  <c r="B33" i="3" s="1"/>
  <c r="B34" i="2"/>
  <c r="B34" i="3" s="1"/>
  <c r="B35" i="2"/>
  <c r="B35" i="3" s="1"/>
  <c r="B36" i="2"/>
  <c r="B36" i="3" s="1"/>
  <c r="B37" i="2"/>
  <c r="B37" i="3" s="1"/>
  <c r="B38" i="2"/>
  <c r="B38" i="3" s="1"/>
  <c r="B39" i="2"/>
  <c r="B39" i="3" s="1"/>
  <c r="B40" i="2"/>
  <c r="B40" i="3" s="1"/>
  <c r="B41" i="2"/>
  <c r="B41" i="3" s="1"/>
  <c r="B42" i="2"/>
  <c r="B42" i="3" s="1"/>
  <c r="B43" i="2"/>
  <c r="B43" i="3" s="1"/>
  <c r="B44" i="2"/>
  <c r="B44" i="3" s="1"/>
  <c r="B45" i="2"/>
  <c r="B45" i="3" s="1"/>
  <c r="B46" i="2"/>
  <c r="B46" i="3" s="1"/>
  <c r="B47" i="2"/>
  <c r="B47" i="3" s="1"/>
  <c r="B48" i="2"/>
  <c r="B48" i="3" s="1"/>
  <c r="B49" i="2"/>
  <c r="B49" i="3" s="1"/>
  <c r="B50" i="2"/>
  <c r="B50" i="3" s="1"/>
  <c r="B51" i="2"/>
  <c r="B51" i="3" s="1"/>
  <c r="B52" i="2"/>
  <c r="B52" i="3" s="1"/>
  <c r="B53" i="2"/>
  <c r="B53" i="3" s="1"/>
  <c r="B54" i="2"/>
  <c r="B54" i="3" s="1"/>
  <c r="B55" i="2"/>
  <c r="B55" i="3" s="1"/>
  <c r="B56" i="2"/>
  <c r="B56" i="3" s="1"/>
  <c r="B57" i="2"/>
  <c r="B57" i="3" s="1"/>
  <c r="B58" i="2"/>
  <c r="B58" i="3" s="1"/>
  <c r="B59" i="2"/>
  <c r="B59" i="3" s="1"/>
  <c r="B60" i="2"/>
  <c r="B60" i="3" s="1"/>
  <c r="B61" i="2"/>
  <c r="B61" i="3" s="1"/>
  <c r="B62" i="2"/>
  <c r="B62" i="3" s="1"/>
  <c r="B63" i="2"/>
  <c r="B63" i="3" s="1"/>
  <c r="B64" i="2"/>
  <c r="B64" i="3" s="1"/>
  <c r="B65" i="2"/>
  <c r="B65" i="3" s="1"/>
  <c r="B66" i="2"/>
  <c r="B66" i="3" s="1"/>
  <c r="B67" i="2"/>
  <c r="B67" i="3" s="1"/>
  <c r="B68" i="2"/>
  <c r="B68" i="3" s="1"/>
  <c r="B69" i="2"/>
  <c r="B69" i="3" s="1"/>
  <c r="B70" i="2"/>
  <c r="B70" i="3" s="1"/>
  <c r="B71" i="2"/>
  <c r="B71" i="3" s="1"/>
  <c r="B72" i="2"/>
  <c r="B72" i="3" s="1"/>
  <c r="B73" i="2"/>
  <c r="B73" i="3" s="1"/>
  <c r="B74" i="2"/>
  <c r="B74" i="3" s="1"/>
  <c r="B75" i="2"/>
  <c r="B75" i="3" s="1"/>
  <c r="B76" i="2"/>
  <c r="B76" i="3" s="1"/>
  <c r="B77" i="2"/>
  <c r="B77" i="3" s="1"/>
  <c r="B78" i="2"/>
  <c r="B78" i="3" s="1"/>
  <c r="B79" i="2"/>
  <c r="B79" i="3" s="1"/>
  <c r="B80" i="2"/>
  <c r="B80" i="3" s="1"/>
  <c r="B81" i="2"/>
  <c r="B81" i="3" s="1"/>
  <c r="B82" i="2"/>
  <c r="B82" i="3" s="1"/>
  <c r="B83" i="2"/>
  <c r="B83" i="3" s="1"/>
  <c r="B84" i="2"/>
  <c r="B84" i="3" s="1"/>
  <c r="B85" i="2"/>
  <c r="B85" i="3" s="1"/>
  <c r="B86" i="2"/>
  <c r="B86" i="3" s="1"/>
  <c r="B87" i="2"/>
  <c r="B87" i="3" s="1"/>
  <c r="B88" i="2"/>
  <c r="B88" i="3" s="1"/>
  <c r="B89" i="2"/>
  <c r="B89" i="3" s="1"/>
  <c r="B90" i="2"/>
  <c r="B90" i="3" s="1"/>
  <c r="B91" i="2"/>
  <c r="B91" i="3" s="1"/>
  <c r="B92" i="2"/>
  <c r="B92" i="3" s="1"/>
  <c r="B93" i="2"/>
  <c r="B93" i="3" s="1"/>
  <c r="B94" i="2"/>
  <c r="B94" i="3" s="1"/>
  <c r="B95" i="2"/>
  <c r="B95" i="3" s="1"/>
  <c r="B96" i="2"/>
  <c r="B96" i="3" s="1"/>
  <c r="B97" i="2"/>
  <c r="B97" i="3" s="1"/>
  <c r="B98" i="2"/>
  <c r="B98" i="3" s="1"/>
  <c r="B99" i="2"/>
  <c r="B99" i="3" s="1"/>
  <c r="B100" i="2"/>
  <c r="B100" i="3" s="1"/>
  <c r="B101" i="2"/>
  <c r="B101" i="3" s="1"/>
  <c r="B102" i="2"/>
  <c r="B102" i="3" s="1"/>
  <c r="B103" i="2"/>
  <c r="B103" i="3" s="1"/>
  <c r="B104" i="2"/>
  <c r="B104" i="3" s="1"/>
  <c r="B105" i="2"/>
  <c r="B105" i="3" s="1"/>
  <c r="B106" i="2"/>
  <c r="B106" i="3" s="1"/>
  <c r="B107" i="2"/>
  <c r="B107" i="3" s="1"/>
  <c r="B108" i="2"/>
  <c r="B108" i="3" s="1"/>
  <c r="B109" i="2"/>
  <c r="B109" i="3" s="1"/>
  <c r="B110" i="2"/>
  <c r="B110" i="3" s="1"/>
  <c r="B111" i="2"/>
  <c r="B111" i="3" s="1"/>
  <c r="B112" i="2"/>
  <c r="B112" i="3" s="1"/>
  <c r="B113" i="2"/>
  <c r="B113" i="3" s="1"/>
  <c r="B114" i="2"/>
  <c r="B114" i="3" s="1"/>
  <c r="B115" i="2"/>
  <c r="B115" i="3" s="1"/>
  <c r="B116" i="2"/>
  <c r="B116" i="3" s="1"/>
  <c r="B117" i="2"/>
  <c r="B117" i="3" s="1"/>
  <c r="B118" i="2"/>
  <c r="B118" i="3" s="1"/>
  <c r="B119" i="2"/>
  <c r="B119" i="3" s="1"/>
  <c r="B120" i="2"/>
  <c r="B120" i="3" s="1"/>
  <c r="B121" i="2"/>
  <c r="B121" i="3" s="1"/>
  <c r="B122" i="2"/>
  <c r="B122" i="3" s="1"/>
  <c r="B123" i="2"/>
  <c r="B123" i="3" s="1"/>
  <c r="B124" i="2"/>
  <c r="B124" i="3" s="1"/>
  <c r="B125" i="2"/>
  <c r="B125" i="3" s="1"/>
  <c r="B126" i="2"/>
  <c r="B126" i="3" s="1"/>
  <c r="B127" i="2"/>
  <c r="B127" i="3" s="1"/>
  <c r="B128" i="2"/>
  <c r="B128" i="3" s="1"/>
  <c r="B129" i="2"/>
  <c r="B129" i="3" s="1"/>
  <c r="B130" i="2"/>
  <c r="B130" i="3" s="1"/>
  <c r="B131" i="2"/>
  <c r="B131" i="3" s="1"/>
  <c r="B132" i="2"/>
  <c r="B132" i="3" s="1"/>
  <c r="B133" i="2"/>
  <c r="B133" i="3" s="1"/>
  <c r="B134" i="2"/>
  <c r="B134" i="3" s="1"/>
  <c r="B135" i="2"/>
  <c r="B135" i="3" s="1"/>
  <c r="B136" i="2"/>
  <c r="B136" i="3" s="1"/>
  <c r="B137" i="2"/>
  <c r="B137" i="3" s="1"/>
  <c r="B138" i="2"/>
  <c r="B138" i="3" s="1"/>
  <c r="B139" i="2"/>
  <c r="B139" i="3" s="1"/>
  <c r="B140" i="2"/>
  <c r="B140" i="3" s="1"/>
  <c r="B141" i="2"/>
  <c r="B141" i="3" s="1"/>
  <c r="B142" i="2"/>
  <c r="B142" i="3" s="1"/>
  <c r="B143" i="2"/>
  <c r="B143" i="3" s="1"/>
  <c r="B144" i="2"/>
  <c r="B144" i="3" s="1"/>
  <c r="B145" i="2"/>
  <c r="B145" i="3" s="1"/>
  <c r="B146" i="2"/>
  <c r="B146" i="3" s="1"/>
  <c r="B147" i="2"/>
  <c r="B147" i="3" s="1"/>
  <c r="B148" i="2"/>
  <c r="B148" i="3" s="1"/>
  <c r="B149" i="2"/>
  <c r="B149" i="3" s="1"/>
  <c r="B150" i="2"/>
  <c r="B150" i="3" s="1"/>
  <c r="B151" i="2"/>
  <c r="B151" i="3" s="1"/>
  <c r="B152" i="2"/>
  <c r="B152" i="3" s="1"/>
  <c r="B153" i="2"/>
  <c r="B153" i="3" s="1"/>
  <c r="B154" i="2"/>
  <c r="B154" i="3" s="1"/>
  <c r="B155" i="2"/>
  <c r="B155" i="3" s="1"/>
  <c r="B156" i="2"/>
  <c r="B156" i="3" s="1"/>
  <c r="B157" i="2"/>
  <c r="B157" i="3" s="1"/>
  <c r="B158" i="2"/>
  <c r="B158" i="3" s="1"/>
  <c r="B159" i="2"/>
  <c r="B159" i="3" s="1"/>
  <c r="B160" i="2"/>
  <c r="B160" i="3" s="1"/>
  <c r="B161" i="2"/>
  <c r="B161" i="3" s="1"/>
  <c r="B162" i="2"/>
  <c r="B162" i="3" s="1"/>
  <c r="B163" i="2"/>
  <c r="B163" i="3" s="1"/>
  <c r="B164" i="2"/>
  <c r="B164" i="3" s="1"/>
  <c r="B165" i="2"/>
  <c r="B165" i="3" s="1"/>
  <c r="B166" i="2"/>
  <c r="B166" i="3" s="1"/>
  <c r="B167" i="2"/>
  <c r="B167" i="3" s="1"/>
  <c r="B168" i="2"/>
  <c r="B168" i="3" s="1"/>
  <c r="B169" i="2"/>
  <c r="B169" i="3" s="1"/>
  <c r="B170" i="2"/>
  <c r="B170" i="3" s="1"/>
  <c r="B171" i="2"/>
  <c r="B171" i="3" s="1"/>
  <c r="B172" i="2"/>
  <c r="B172" i="3" s="1"/>
  <c r="B173" i="2"/>
  <c r="B173" i="3" s="1"/>
  <c r="B174" i="2"/>
  <c r="B174" i="3" s="1"/>
  <c r="B175" i="2"/>
  <c r="B175" i="3" s="1"/>
  <c r="B176" i="2"/>
  <c r="B176" i="3" s="1"/>
  <c r="B177" i="2"/>
  <c r="B177" i="3" s="1"/>
  <c r="B178" i="2"/>
  <c r="B178" i="3" s="1"/>
  <c r="B179" i="2"/>
  <c r="B179" i="3" s="1"/>
  <c r="B180" i="2"/>
  <c r="B180" i="3" s="1"/>
  <c r="B181" i="2"/>
  <c r="B181" i="3" s="1"/>
  <c r="B182" i="2"/>
  <c r="B182" i="3" s="1"/>
  <c r="B183" i="2"/>
  <c r="B183" i="3" s="1"/>
  <c r="B184" i="2"/>
  <c r="B184" i="3" s="1"/>
  <c r="B185" i="2"/>
  <c r="B185" i="3" s="1"/>
  <c r="B186" i="2"/>
  <c r="B186" i="3" s="1"/>
  <c r="B187" i="2"/>
  <c r="B187" i="3" s="1"/>
  <c r="B188" i="2"/>
  <c r="B188" i="3" s="1"/>
  <c r="B189" i="2"/>
  <c r="B189" i="3" s="1"/>
  <c r="B190" i="2"/>
  <c r="B190" i="3" s="1"/>
  <c r="B191" i="2"/>
  <c r="B191" i="3" s="1"/>
  <c r="B192" i="2"/>
  <c r="B192" i="3" s="1"/>
  <c r="B193" i="2"/>
  <c r="B193" i="3" s="1"/>
  <c r="B194" i="2"/>
  <c r="B194" i="3" s="1"/>
  <c r="B195" i="2"/>
  <c r="B195" i="3" s="1"/>
  <c r="B196" i="2"/>
  <c r="B196" i="3" s="1"/>
  <c r="B197" i="2"/>
  <c r="B197" i="3" s="1"/>
  <c r="B198" i="2"/>
  <c r="B198" i="3" s="1"/>
  <c r="B199" i="2"/>
  <c r="B199" i="3" s="1"/>
  <c r="B200" i="2"/>
  <c r="B200" i="3" s="1"/>
  <c r="B201" i="2"/>
  <c r="B201" i="3" s="1"/>
  <c r="B202" i="2"/>
  <c r="B202" i="3" s="1"/>
  <c r="B203" i="2"/>
  <c r="B203" i="3" s="1"/>
  <c r="B204" i="2"/>
  <c r="B204" i="3" s="1"/>
  <c r="B205" i="2"/>
  <c r="B205" i="3" s="1"/>
  <c r="B206" i="2"/>
  <c r="B206" i="3" s="1"/>
  <c r="B207" i="2"/>
  <c r="B207" i="3" s="1"/>
  <c r="B208" i="2"/>
  <c r="B208" i="3" s="1"/>
  <c r="B209" i="2"/>
  <c r="B209" i="3" s="1"/>
  <c r="B210" i="2"/>
  <c r="B210" i="3" s="1"/>
  <c r="B211" i="2"/>
  <c r="B211" i="3" s="1"/>
  <c r="B212" i="2"/>
  <c r="B212" i="3" s="1"/>
  <c r="B213" i="2"/>
  <c r="B213" i="3" s="1"/>
  <c r="B214" i="2"/>
  <c r="B214" i="3" s="1"/>
  <c r="B215" i="2"/>
  <c r="B215" i="3" s="1"/>
  <c r="B216" i="2"/>
  <c r="B216" i="3" s="1"/>
  <c r="B217" i="2"/>
  <c r="B217" i="3" s="1"/>
  <c r="B218" i="2"/>
  <c r="B218" i="3" s="1"/>
  <c r="B219" i="2"/>
  <c r="B219" i="3" s="1"/>
  <c r="B220" i="2"/>
  <c r="B220" i="3" s="1"/>
  <c r="B221" i="2"/>
  <c r="B221" i="3" s="1"/>
  <c r="B222" i="2"/>
  <c r="B222" i="3" s="1"/>
  <c r="B223" i="2"/>
  <c r="B223" i="3" s="1"/>
  <c r="B224" i="2"/>
  <c r="B224" i="3" s="1"/>
  <c r="B225" i="2"/>
  <c r="B225" i="3" s="1"/>
  <c r="B226" i="2"/>
  <c r="B226" i="3" s="1"/>
  <c r="B227" i="2"/>
  <c r="B227" i="3" s="1"/>
  <c r="B228" i="2"/>
  <c r="B228" i="3" s="1"/>
  <c r="B229" i="2"/>
  <c r="B229" i="3" s="1"/>
  <c r="B230" i="2"/>
  <c r="B230" i="3" s="1"/>
  <c r="B231" i="2"/>
  <c r="B231" i="3" s="1"/>
  <c r="B232" i="2"/>
  <c r="B232" i="3" s="1"/>
  <c r="B233" i="2"/>
  <c r="B233" i="3" s="1"/>
  <c r="B234" i="2"/>
  <c r="B234" i="3" s="1"/>
  <c r="B235" i="2"/>
  <c r="B235" i="3" s="1"/>
  <c r="B236" i="2"/>
  <c r="B236" i="3" s="1"/>
  <c r="B237" i="2"/>
  <c r="B237" i="3" s="1"/>
  <c r="B238" i="2"/>
  <c r="B238" i="3" s="1"/>
  <c r="B239" i="2"/>
  <c r="B239" i="3" s="1"/>
  <c r="B240" i="2"/>
  <c r="B240" i="3" s="1"/>
  <c r="B241" i="2"/>
  <c r="B241" i="3" s="1"/>
  <c r="B242" i="2"/>
  <c r="B242" i="3" s="1"/>
  <c r="B243" i="2"/>
  <c r="B243" i="3" s="1"/>
  <c r="B244" i="2"/>
  <c r="B244" i="3" s="1"/>
  <c r="B245" i="2"/>
  <c r="B245" i="3" s="1"/>
  <c r="B246" i="2"/>
  <c r="B246" i="3" s="1"/>
  <c r="B247" i="2"/>
  <c r="B247" i="3" s="1"/>
  <c r="B248" i="2"/>
  <c r="B248" i="3" s="1"/>
  <c r="B249" i="2"/>
  <c r="B249" i="3" s="1"/>
  <c r="B250" i="2"/>
  <c r="B250" i="3" s="1"/>
  <c r="B251" i="2"/>
  <c r="B251" i="3" s="1"/>
  <c r="B2" i="2"/>
  <c r="B2" i="3" s="1"/>
  <c r="A18" i="2"/>
  <c r="A18" i="3" s="1"/>
  <c r="A19" i="2"/>
  <c r="A19" i="3" s="1"/>
  <c r="A20" i="2"/>
  <c r="A20" i="3" s="1"/>
  <c r="A21" i="2"/>
  <c r="A21" i="3" s="1"/>
  <c r="A22" i="2"/>
  <c r="A22" i="3" s="1"/>
  <c r="A23" i="2"/>
  <c r="A23" i="3" s="1"/>
  <c r="A24" i="2"/>
  <c r="A24" i="3" s="1"/>
  <c r="A25" i="2"/>
  <c r="A25" i="3" s="1"/>
  <c r="A26" i="2"/>
  <c r="A26" i="3" s="1"/>
  <c r="A27" i="2"/>
  <c r="A27" i="3" s="1"/>
  <c r="A28" i="2"/>
  <c r="A28" i="3" s="1"/>
  <c r="A29" i="2"/>
  <c r="A29" i="3" s="1"/>
  <c r="A30" i="2"/>
  <c r="A30" i="3" s="1"/>
  <c r="A31" i="2"/>
  <c r="A31" i="3" s="1"/>
  <c r="A32" i="2"/>
  <c r="A32" i="3" s="1"/>
  <c r="A33" i="2"/>
  <c r="A33" i="3" s="1"/>
  <c r="A34" i="2"/>
  <c r="A34" i="3" s="1"/>
  <c r="A35" i="2"/>
  <c r="A35" i="3" s="1"/>
  <c r="A36" i="2"/>
  <c r="A36" i="3" s="1"/>
  <c r="A37" i="2"/>
  <c r="A37" i="3" s="1"/>
  <c r="A38" i="2"/>
  <c r="A38" i="3" s="1"/>
  <c r="A39" i="2"/>
  <c r="A39" i="3" s="1"/>
  <c r="A40" i="2"/>
  <c r="A40" i="3" s="1"/>
  <c r="A41" i="2"/>
  <c r="A41" i="3" s="1"/>
  <c r="A42" i="2"/>
  <c r="A42" i="3" s="1"/>
  <c r="A43" i="2"/>
  <c r="A43" i="3" s="1"/>
  <c r="A44" i="2"/>
  <c r="A44" i="3" s="1"/>
  <c r="A45" i="2"/>
  <c r="A45" i="3" s="1"/>
  <c r="A46" i="2"/>
  <c r="A46" i="3" s="1"/>
  <c r="A47" i="2"/>
  <c r="A47" i="3" s="1"/>
  <c r="A48" i="2"/>
  <c r="A48" i="3" s="1"/>
  <c r="A49" i="2"/>
  <c r="A49" i="3" s="1"/>
  <c r="A50" i="2"/>
  <c r="A50" i="3" s="1"/>
  <c r="A51" i="2"/>
  <c r="A51" i="3" s="1"/>
  <c r="A52" i="2"/>
  <c r="A52" i="3" s="1"/>
  <c r="A53" i="2"/>
  <c r="A53" i="3" s="1"/>
  <c r="A54" i="2"/>
  <c r="A54" i="3" s="1"/>
  <c r="A55" i="2"/>
  <c r="A55" i="3" s="1"/>
  <c r="A56" i="2"/>
  <c r="A56" i="3" s="1"/>
  <c r="A57" i="2"/>
  <c r="A57" i="3" s="1"/>
  <c r="A58" i="2"/>
  <c r="A58" i="3" s="1"/>
  <c r="A59" i="2"/>
  <c r="A59" i="3" s="1"/>
  <c r="A60" i="2"/>
  <c r="A60" i="3" s="1"/>
  <c r="A61" i="2"/>
  <c r="A61" i="3" s="1"/>
  <c r="A62" i="2"/>
  <c r="A62" i="3" s="1"/>
  <c r="A63" i="2"/>
  <c r="A63" i="3" s="1"/>
  <c r="A64" i="2"/>
  <c r="A64" i="3" s="1"/>
  <c r="A65" i="2"/>
  <c r="A65" i="3" s="1"/>
  <c r="A66" i="2"/>
  <c r="A66" i="3" s="1"/>
  <c r="A67" i="2"/>
  <c r="A67" i="3" s="1"/>
  <c r="A68" i="2"/>
  <c r="A68" i="3" s="1"/>
  <c r="A69" i="2"/>
  <c r="A69" i="3" s="1"/>
  <c r="A70" i="2"/>
  <c r="A70" i="3" s="1"/>
  <c r="A71" i="2"/>
  <c r="A71" i="3" s="1"/>
  <c r="A72" i="2"/>
  <c r="A72" i="3" s="1"/>
  <c r="A73" i="2"/>
  <c r="A73" i="3" s="1"/>
  <c r="A74" i="2"/>
  <c r="A74" i="3" s="1"/>
  <c r="A75" i="2"/>
  <c r="A75" i="3" s="1"/>
  <c r="A76" i="2"/>
  <c r="A76" i="3" s="1"/>
  <c r="A77" i="2"/>
  <c r="A77" i="3" s="1"/>
  <c r="A78" i="2"/>
  <c r="A78" i="3" s="1"/>
  <c r="A79" i="2"/>
  <c r="A79" i="3" s="1"/>
  <c r="A80" i="2"/>
  <c r="A80" i="3" s="1"/>
  <c r="A81" i="2"/>
  <c r="A81" i="3" s="1"/>
  <c r="A82" i="2"/>
  <c r="A82" i="3" s="1"/>
  <c r="A83" i="2"/>
  <c r="A83" i="3" s="1"/>
  <c r="A84" i="2"/>
  <c r="A84" i="3" s="1"/>
  <c r="A85" i="2"/>
  <c r="A85" i="3" s="1"/>
  <c r="A86" i="2"/>
  <c r="A86" i="3" s="1"/>
  <c r="A87" i="2"/>
  <c r="A87" i="3" s="1"/>
  <c r="A88" i="2"/>
  <c r="A88" i="3" s="1"/>
  <c r="A89" i="2"/>
  <c r="A89" i="3" s="1"/>
  <c r="A90" i="2"/>
  <c r="A90" i="3" s="1"/>
  <c r="A91" i="2"/>
  <c r="A91" i="3" s="1"/>
  <c r="A92" i="2"/>
  <c r="A92" i="3" s="1"/>
  <c r="A93" i="2"/>
  <c r="A93" i="3" s="1"/>
  <c r="A94" i="2"/>
  <c r="A94" i="3" s="1"/>
  <c r="A95" i="2"/>
  <c r="A95" i="3" s="1"/>
  <c r="A96" i="2"/>
  <c r="A96" i="3" s="1"/>
  <c r="A97" i="2"/>
  <c r="A97" i="3" s="1"/>
  <c r="A98" i="2"/>
  <c r="A98" i="3" s="1"/>
  <c r="A99" i="2"/>
  <c r="A99" i="3" s="1"/>
  <c r="A100" i="2"/>
  <c r="A100" i="3" s="1"/>
  <c r="A101" i="2"/>
  <c r="A101" i="3" s="1"/>
  <c r="A102" i="2"/>
  <c r="A102" i="3" s="1"/>
  <c r="A103" i="2"/>
  <c r="A103" i="3" s="1"/>
  <c r="A104" i="2"/>
  <c r="A104" i="3" s="1"/>
  <c r="A105" i="2"/>
  <c r="A105" i="3" s="1"/>
  <c r="A106" i="2"/>
  <c r="A106" i="3" s="1"/>
  <c r="A107" i="2"/>
  <c r="A107" i="3" s="1"/>
  <c r="A108" i="2"/>
  <c r="A108" i="3" s="1"/>
  <c r="A109" i="2"/>
  <c r="A109" i="3" s="1"/>
  <c r="A110" i="2"/>
  <c r="A110" i="3" s="1"/>
  <c r="A111" i="2"/>
  <c r="A111" i="3" s="1"/>
  <c r="A112" i="2"/>
  <c r="A112" i="3" s="1"/>
  <c r="A113" i="2"/>
  <c r="A113" i="3" s="1"/>
  <c r="A114" i="2"/>
  <c r="A114" i="3" s="1"/>
  <c r="A115" i="2"/>
  <c r="A115" i="3" s="1"/>
  <c r="A116" i="2"/>
  <c r="A116" i="3" s="1"/>
  <c r="A117" i="2"/>
  <c r="A117" i="3" s="1"/>
  <c r="A118" i="2"/>
  <c r="A118" i="3" s="1"/>
  <c r="A119" i="2"/>
  <c r="A119" i="3" s="1"/>
  <c r="A120" i="2"/>
  <c r="A120" i="3" s="1"/>
  <c r="A121" i="2"/>
  <c r="A121" i="3" s="1"/>
  <c r="A122" i="2"/>
  <c r="A122" i="3" s="1"/>
  <c r="A123" i="2"/>
  <c r="A123" i="3" s="1"/>
  <c r="A124" i="2"/>
  <c r="A124" i="3" s="1"/>
  <c r="A125" i="2"/>
  <c r="A125" i="3" s="1"/>
  <c r="A126" i="2"/>
  <c r="A126" i="3" s="1"/>
  <c r="A127" i="2"/>
  <c r="A127" i="3" s="1"/>
  <c r="A128" i="2"/>
  <c r="A128" i="3" s="1"/>
  <c r="A129" i="2"/>
  <c r="A129" i="3" s="1"/>
  <c r="A130" i="2"/>
  <c r="A130" i="3" s="1"/>
  <c r="A131" i="2"/>
  <c r="A131" i="3" s="1"/>
  <c r="A132" i="2"/>
  <c r="A132" i="3" s="1"/>
  <c r="A133" i="2"/>
  <c r="A133" i="3" s="1"/>
  <c r="A134" i="2"/>
  <c r="A134" i="3" s="1"/>
  <c r="A135" i="2"/>
  <c r="A135" i="3" s="1"/>
  <c r="A136" i="2"/>
  <c r="A136" i="3" s="1"/>
  <c r="A137" i="2"/>
  <c r="A137" i="3" s="1"/>
  <c r="A138" i="2"/>
  <c r="A138" i="3" s="1"/>
  <c r="A139" i="2"/>
  <c r="A139" i="3" s="1"/>
  <c r="A140" i="2"/>
  <c r="A140" i="3" s="1"/>
  <c r="A141" i="2"/>
  <c r="A141" i="3" s="1"/>
  <c r="A142" i="2"/>
  <c r="A142" i="3" s="1"/>
  <c r="A143" i="2"/>
  <c r="A143" i="3" s="1"/>
  <c r="A144" i="2"/>
  <c r="A144" i="3" s="1"/>
  <c r="A145" i="2"/>
  <c r="A145" i="3" s="1"/>
  <c r="A146" i="2"/>
  <c r="A146" i="3" s="1"/>
  <c r="A147" i="2"/>
  <c r="A147" i="3" s="1"/>
  <c r="A148" i="2"/>
  <c r="A148" i="3" s="1"/>
  <c r="A149" i="2"/>
  <c r="A149" i="3" s="1"/>
  <c r="A150" i="2"/>
  <c r="A150" i="3" s="1"/>
  <c r="A151" i="2"/>
  <c r="A151" i="3" s="1"/>
  <c r="A152" i="2"/>
  <c r="A152" i="3" s="1"/>
  <c r="A153" i="2"/>
  <c r="A153" i="3" s="1"/>
  <c r="A154" i="2"/>
  <c r="A154" i="3" s="1"/>
  <c r="A155" i="2"/>
  <c r="A155" i="3" s="1"/>
  <c r="A156" i="2"/>
  <c r="A156" i="3" s="1"/>
  <c r="A157" i="2"/>
  <c r="A157" i="3" s="1"/>
  <c r="A158" i="2"/>
  <c r="A158" i="3" s="1"/>
  <c r="A159" i="2"/>
  <c r="A159" i="3" s="1"/>
  <c r="A160" i="2"/>
  <c r="A160" i="3" s="1"/>
  <c r="A161" i="2"/>
  <c r="A161" i="3" s="1"/>
  <c r="A162" i="2"/>
  <c r="A162" i="3" s="1"/>
  <c r="A163" i="2"/>
  <c r="A163" i="3" s="1"/>
  <c r="A164" i="2"/>
  <c r="A164" i="3" s="1"/>
  <c r="A165" i="2"/>
  <c r="A165" i="3" s="1"/>
  <c r="A166" i="2"/>
  <c r="A166" i="3" s="1"/>
  <c r="A167" i="2"/>
  <c r="A167" i="3" s="1"/>
  <c r="A168" i="2"/>
  <c r="A168" i="3" s="1"/>
  <c r="A169" i="2"/>
  <c r="A169" i="3" s="1"/>
  <c r="A170" i="2"/>
  <c r="A170" i="3" s="1"/>
  <c r="A171" i="2"/>
  <c r="A171" i="3" s="1"/>
  <c r="A172" i="2"/>
  <c r="A172" i="3" s="1"/>
  <c r="A173" i="2"/>
  <c r="A173" i="3" s="1"/>
  <c r="A174" i="2"/>
  <c r="A174" i="3" s="1"/>
  <c r="A175" i="2"/>
  <c r="A175" i="3" s="1"/>
  <c r="A176" i="2"/>
  <c r="A176" i="3" s="1"/>
  <c r="A177" i="2"/>
  <c r="A177" i="3" s="1"/>
  <c r="A178" i="2"/>
  <c r="A178" i="3" s="1"/>
  <c r="A179" i="2"/>
  <c r="A179" i="3" s="1"/>
  <c r="A180" i="2"/>
  <c r="A180" i="3" s="1"/>
  <c r="A181" i="2"/>
  <c r="A181" i="3" s="1"/>
  <c r="A182" i="2"/>
  <c r="A182" i="3" s="1"/>
  <c r="A183" i="2"/>
  <c r="A183" i="3" s="1"/>
  <c r="A184" i="2"/>
  <c r="A184" i="3" s="1"/>
  <c r="A185" i="2"/>
  <c r="A185" i="3" s="1"/>
  <c r="A186" i="2"/>
  <c r="A186" i="3" s="1"/>
  <c r="A187" i="2"/>
  <c r="A187" i="3" s="1"/>
  <c r="A188" i="2"/>
  <c r="A188" i="3" s="1"/>
  <c r="A189" i="2"/>
  <c r="A189" i="3" s="1"/>
  <c r="A190" i="2"/>
  <c r="A190" i="3" s="1"/>
  <c r="A191" i="2"/>
  <c r="A191" i="3" s="1"/>
  <c r="A192" i="2"/>
  <c r="A192" i="3" s="1"/>
  <c r="A193" i="2"/>
  <c r="A193" i="3" s="1"/>
  <c r="A194" i="2"/>
  <c r="A194" i="3" s="1"/>
  <c r="A195" i="2"/>
  <c r="A195" i="3" s="1"/>
  <c r="A196" i="2"/>
  <c r="A196" i="3" s="1"/>
  <c r="A197" i="2"/>
  <c r="A197" i="3" s="1"/>
  <c r="A198" i="2"/>
  <c r="A198" i="3" s="1"/>
  <c r="A199" i="2"/>
  <c r="A199" i="3" s="1"/>
  <c r="A200" i="2"/>
  <c r="A200" i="3" s="1"/>
  <c r="A201" i="2"/>
  <c r="A201" i="3" s="1"/>
  <c r="A202" i="2"/>
  <c r="A202" i="3" s="1"/>
  <c r="A203" i="2"/>
  <c r="A203" i="3" s="1"/>
  <c r="A204" i="2"/>
  <c r="A204" i="3" s="1"/>
  <c r="A205" i="2"/>
  <c r="A205" i="3" s="1"/>
  <c r="A206" i="2"/>
  <c r="A206" i="3" s="1"/>
  <c r="A207" i="2"/>
  <c r="A207" i="3" s="1"/>
  <c r="A208" i="2"/>
  <c r="A208" i="3" s="1"/>
  <c r="A209" i="2"/>
  <c r="A209" i="3" s="1"/>
  <c r="A210" i="2"/>
  <c r="A210" i="3" s="1"/>
  <c r="A211" i="2"/>
  <c r="A211" i="3" s="1"/>
  <c r="A212" i="2"/>
  <c r="A212" i="3" s="1"/>
  <c r="A213" i="2"/>
  <c r="A213" i="3" s="1"/>
  <c r="A214" i="2"/>
  <c r="A214" i="3" s="1"/>
  <c r="A215" i="2"/>
  <c r="A215" i="3" s="1"/>
  <c r="A216" i="2"/>
  <c r="A216" i="3" s="1"/>
  <c r="A217" i="2"/>
  <c r="A217" i="3" s="1"/>
  <c r="A218" i="2"/>
  <c r="A218" i="3" s="1"/>
  <c r="A219" i="2"/>
  <c r="A219" i="3" s="1"/>
  <c r="A220" i="2"/>
  <c r="A220" i="3" s="1"/>
  <c r="A221" i="2"/>
  <c r="A221" i="3" s="1"/>
  <c r="A222" i="2"/>
  <c r="A222" i="3" s="1"/>
  <c r="A223" i="2"/>
  <c r="A223" i="3" s="1"/>
  <c r="A224" i="2"/>
  <c r="A224" i="3" s="1"/>
  <c r="A225" i="2"/>
  <c r="A225" i="3" s="1"/>
  <c r="A226" i="2"/>
  <c r="A226" i="3" s="1"/>
  <c r="A227" i="2"/>
  <c r="A227" i="3" s="1"/>
  <c r="A228" i="2"/>
  <c r="A228" i="3" s="1"/>
  <c r="A229" i="2"/>
  <c r="A229" i="3" s="1"/>
  <c r="A230" i="2"/>
  <c r="A230" i="3" s="1"/>
  <c r="A231" i="2"/>
  <c r="A231" i="3" s="1"/>
  <c r="A232" i="2"/>
  <c r="A232" i="3" s="1"/>
  <c r="A233" i="2"/>
  <c r="A233" i="3" s="1"/>
  <c r="A234" i="2"/>
  <c r="A234" i="3" s="1"/>
  <c r="A235" i="2"/>
  <c r="A235" i="3" s="1"/>
  <c r="A236" i="2"/>
  <c r="A236" i="3" s="1"/>
  <c r="A237" i="2"/>
  <c r="A237" i="3" s="1"/>
  <c r="A238" i="2"/>
  <c r="A238" i="3" s="1"/>
  <c r="A239" i="2"/>
  <c r="A239" i="3" s="1"/>
  <c r="A240" i="2"/>
  <c r="A240" i="3" s="1"/>
  <c r="A241" i="2"/>
  <c r="A241" i="3" s="1"/>
  <c r="A242" i="2"/>
  <c r="A242" i="3" s="1"/>
  <c r="A243" i="2"/>
  <c r="A243" i="3" s="1"/>
  <c r="A244" i="2"/>
  <c r="A244" i="3" s="1"/>
  <c r="A245" i="2"/>
  <c r="A245" i="3" s="1"/>
  <c r="A246" i="2"/>
  <c r="A246" i="3" s="1"/>
  <c r="A247" i="2"/>
  <c r="A247" i="3" s="1"/>
  <c r="A248" i="2"/>
  <c r="A248" i="3" s="1"/>
  <c r="A249" i="2"/>
  <c r="A249" i="3" s="1"/>
  <c r="A250" i="2"/>
  <c r="A250" i="3" s="1"/>
  <c r="A251" i="2"/>
  <c r="A251" i="3" s="1"/>
  <c r="A3" i="2"/>
  <c r="A3" i="3" s="1"/>
  <c r="A4" i="2"/>
  <c r="A4" i="3" s="1"/>
  <c r="A5" i="2"/>
  <c r="A5" i="3" s="1"/>
  <c r="A6" i="2"/>
  <c r="A6" i="3" s="1"/>
  <c r="A7" i="2"/>
  <c r="A7" i="3" s="1"/>
  <c r="A8" i="2"/>
  <c r="A8" i="3" s="1"/>
  <c r="A9" i="2"/>
  <c r="A9" i="3" s="1"/>
  <c r="A10" i="2"/>
  <c r="A10" i="3" s="1"/>
  <c r="A11" i="2"/>
  <c r="A11" i="3" s="1"/>
  <c r="A12" i="2"/>
  <c r="A12" i="3" s="1"/>
  <c r="A13" i="2"/>
  <c r="A13" i="3" s="1"/>
  <c r="A14" i="2"/>
  <c r="A14" i="3" s="1"/>
  <c r="A15" i="2"/>
  <c r="A15" i="3" s="1"/>
  <c r="A16" i="2"/>
  <c r="A16" i="3" s="1"/>
  <c r="A17" i="2"/>
  <c r="A17" i="3" s="1"/>
  <c r="A2" i="2"/>
  <c r="A2" i="3" s="1"/>
  <c r="B2" i="4" l="1"/>
  <c r="C2" i="4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U4" i="5"/>
  <c r="BV4" i="5"/>
  <c r="BW4" i="5"/>
  <c r="BX4" i="5"/>
  <c r="AK4" i="5"/>
  <c r="AL4" i="5"/>
  <c r="AM4" i="5"/>
  <c r="AM47" i="5" s="1"/>
  <c r="AN4" i="5"/>
  <c r="AO4" i="5"/>
  <c r="AP4" i="5"/>
  <c r="AQ4" i="5"/>
  <c r="AR4" i="5"/>
  <c r="AS4" i="5"/>
  <c r="AT4" i="5"/>
  <c r="AU4" i="5"/>
  <c r="AU47" i="5" s="1"/>
  <c r="AV4" i="5"/>
  <c r="AW4" i="5"/>
  <c r="AX4" i="5"/>
  <c r="AY4" i="5"/>
  <c r="AZ4" i="5"/>
  <c r="BA4" i="5"/>
  <c r="BB4" i="5"/>
  <c r="BC4" i="5"/>
  <c r="BC47" i="5" s="1"/>
  <c r="BD4" i="5"/>
  <c r="BE4" i="5"/>
  <c r="BF4" i="5"/>
  <c r="BG4" i="5"/>
  <c r="BH4" i="5"/>
  <c r="BI4" i="5"/>
  <c r="BJ4" i="5"/>
  <c r="BK4" i="5"/>
  <c r="BK47" i="5" s="1"/>
  <c r="BL4" i="5"/>
  <c r="BM4" i="5"/>
  <c r="BN4" i="5"/>
  <c r="BO4" i="5"/>
  <c r="BP4" i="5"/>
  <c r="BQ4" i="5"/>
  <c r="BR4" i="5"/>
  <c r="BS4" i="5"/>
  <c r="BS47" i="5" s="1"/>
  <c r="BT4" i="5"/>
  <c r="AJ4" i="5"/>
  <c r="T5" i="5"/>
  <c r="U5" i="5"/>
  <c r="V5" i="5"/>
  <c r="W5" i="5"/>
  <c r="X5" i="5"/>
  <c r="Y5" i="5"/>
  <c r="Z5" i="5"/>
  <c r="AA5" i="5"/>
  <c r="AB5" i="5"/>
  <c r="AC5" i="5"/>
  <c r="T6" i="5"/>
  <c r="U6" i="5"/>
  <c r="V6" i="5"/>
  <c r="W6" i="5"/>
  <c r="X6" i="5"/>
  <c r="Y6" i="5"/>
  <c r="Z6" i="5"/>
  <c r="AA6" i="5"/>
  <c r="AB6" i="5"/>
  <c r="AC6" i="5"/>
  <c r="T7" i="5"/>
  <c r="U7" i="5"/>
  <c r="V7" i="5"/>
  <c r="W7" i="5"/>
  <c r="X7" i="5"/>
  <c r="Y7" i="5"/>
  <c r="Z7" i="5"/>
  <c r="AA7" i="5"/>
  <c r="AB7" i="5"/>
  <c r="AC7" i="5"/>
  <c r="T8" i="5"/>
  <c r="U8" i="5"/>
  <c r="V8" i="5"/>
  <c r="W8" i="5"/>
  <c r="X8" i="5"/>
  <c r="Y8" i="5"/>
  <c r="Z8" i="5"/>
  <c r="AA8" i="5"/>
  <c r="AB8" i="5"/>
  <c r="AC8" i="5"/>
  <c r="T9" i="5"/>
  <c r="U9" i="5"/>
  <c r="V9" i="5"/>
  <c r="W9" i="5"/>
  <c r="X9" i="5"/>
  <c r="Y9" i="5"/>
  <c r="Z9" i="5"/>
  <c r="AA9" i="5"/>
  <c r="AB9" i="5"/>
  <c r="AC9" i="5"/>
  <c r="T10" i="5"/>
  <c r="U10" i="5"/>
  <c r="V10" i="5"/>
  <c r="W10" i="5"/>
  <c r="X10" i="5"/>
  <c r="Y10" i="5"/>
  <c r="Z10" i="5"/>
  <c r="AA10" i="5"/>
  <c r="AB10" i="5"/>
  <c r="AC10" i="5"/>
  <c r="T11" i="5"/>
  <c r="U11" i="5"/>
  <c r="V11" i="5"/>
  <c r="W11" i="5"/>
  <c r="X11" i="5"/>
  <c r="Y11" i="5"/>
  <c r="Z11" i="5"/>
  <c r="AA11" i="5"/>
  <c r="AB11" i="5"/>
  <c r="AC11" i="5"/>
  <c r="T12" i="5"/>
  <c r="U12" i="5"/>
  <c r="V12" i="5"/>
  <c r="W12" i="5"/>
  <c r="X12" i="5"/>
  <c r="Y12" i="5"/>
  <c r="Z12" i="5"/>
  <c r="AA12" i="5"/>
  <c r="AB12" i="5"/>
  <c r="AC12" i="5"/>
  <c r="T13" i="5"/>
  <c r="U13" i="5"/>
  <c r="V13" i="5"/>
  <c r="W13" i="5"/>
  <c r="X13" i="5"/>
  <c r="Y13" i="5"/>
  <c r="Z13" i="5"/>
  <c r="AA13" i="5"/>
  <c r="AB13" i="5"/>
  <c r="AC13" i="5"/>
  <c r="T14" i="5"/>
  <c r="U14" i="5"/>
  <c r="V14" i="5"/>
  <c r="W14" i="5"/>
  <c r="X14" i="5"/>
  <c r="Y14" i="5"/>
  <c r="Z14" i="5"/>
  <c r="AA14" i="5"/>
  <c r="AB14" i="5"/>
  <c r="AC14" i="5"/>
  <c r="T15" i="5"/>
  <c r="U15" i="5"/>
  <c r="V15" i="5"/>
  <c r="W15" i="5"/>
  <c r="X15" i="5"/>
  <c r="Y15" i="5"/>
  <c r="Z15" i="5"/>
  <c r="AA15" i="5"/>
  <c r="AB15" i="5"/>
  <c r="AC15" i="5"/>
  <c r="T16" i="5"/>
  <c r="U16" i="5"/>
  <c r="V16" i="5"/>
  <c r="W16" i="5"/>
  <c r="X16" i="5"/>
  <c r="Y16" i="5"/>
  <c r="Z16" i="5"/>
  <c r="AA16" i="5"/>
  <c r="AB16" i="5"/>
  <c r="AC16" i="5"/>
  <c r="T17" i="5"/>
  <c r="U17" i="5"/>
  <c r="V17" i="5"/>
  <c r="W17" i="5"/>
  <c r="X17" i="5"/>
  <c r="Y17" i="5"/>
  <c r="Z17" i="5"/>
  <c r="AA17" i="5"/>
  <c r="AB17" i="5"/>
  <c r="AC17" i="5"/>
  <c r="T18" i="5"/>
  <c r="U18" i="5"/>
  <c r="V18" i="5"/>
  <c r="W18" i="5"/>
  <c r="X18" i="5"/>
  <c r="Y18" i="5"/>
  <c r="Z18" i="5"/>
  <c r="AA18" i="5"/>
  <c r="AB18" i="5"/>
  <c r="AC18" i="5"/>
  <c r="T19" i="5"/>
  <c r="U19" i="5"/>
  <c r="V19" i="5"/>
  <c r="W19" i="5"/>
  <c r="X19" i="5"/>
  <c r="Y19" i="5"/>
  <c r="Z19" i="5"/>
  <c r="AA19" i="5"/>
  <c r="AB19" i="5"/>
  <c r="AC19" i="5"/>
  <c r="T20" i="5"/>
  <c r="U20" i="5"/>
  <c r="V20" i="5"/>
  <c r="W20" i="5"/>
  <c r="X20" i="5"/>
  <c r="Y20" i="5"/>
  <c r="Z20" i="5"/>
  <c r="AA20" i="5"/>
  <c r="AB20" i="5"/>
  <c r="AC20" i="5"/>
  <c r="T21" i="5"/>
  <c r="U21" i="5"/>
  <c r="V21" i="5"/>
  <c r="W21" i="5"/>
  <c r="X21" i="5"/>
  <c r="Y21" i="5"/>
  <c r="Z21" i="5"/>
  <c r="AA21" i="5"/>
  <c r="AB21" i="5"/>
  <c r="AC21" i="5"/>
  <c r="T22" i="5"/>
  <c r="U22" i="5"/>
  <c r="V22" i="5"/>
  <c r="W22" i="5"/>
  <c r="X22" i="5"/>
  <c r="Y22" i="5"/>
  <c r="Z22" i="5"/>
  <c r="AA22" i="5"/>
  <c r="AB22" i="5"/>
  <c r="AC22" i="5"/>
  <c r="T23" i="5"/>
  <c r="U23" i="5"/>
  <c r="V23" i="5"/>
  <c r="W23" i="5"/>
  <c r="X23" i="5"/>
  <c r="Y23" i="5"/>
  <c r="Z23" i="5"/>
  <c r="AA23" i="5"/>
  <c r="AB23" i="5"/>
  <c r="AC23" i="5"/>
  <c r="T24" i="5"/>
  <c r="U24" i="5"/>
  <c r="V24" i="5"/>
  <c r="W24" i="5"/>
  <c r="X24" i="5"/>
  <c r="Y24" i="5"/>
  <c r="Z24" i="5"/>
  <c r="AA24" i="5"/>
  <c r="AB24" i="5"/>
  <c r="AC24" i="5"/>
  <c r="T25" i="5"/>
  <c r="U25" i="5"/>
  <c r="V25" i="5"/>
  <c r="W25" i="5"/>
  <c r="X25" i="5"/>
  <c r="Y25" i="5"/>
  <c r="Z25" i="5"/>
  <c r="AA25" i="5"/>
  <c r="AB25" i="5"/>
  <c r="AC25" i="5"/>
  <c r="T26" i="5"/>
  <c r="U26" i="5"/>
  <c r="V26" i="5"/>
  <c r="W26" i="5"/>
  <c r="X26" i="5"/>
  <c r="Y26" i="5"/>
  <c r="Z26" i="5"/>
  <c r="AA26" i="5"/>
  <c r="AB26" i="5"/>
  <c r="AC26" i="5"/>
  <c r="T27" i="5"/>
  <c r="U27" i="5"/>
  <c r="V27" i="5"/>
  <c r="W27" i="5"/>
  <c r="X27" i="5"/>
  <c r="Y27" i="5"/>
  <c r="Z27" i="5"/>
  <c r="AA27" i="5"/>
  <c r="AB27" i="5"/>
  <c r="AC27" i="5"/>
  <c r="T28" i="5"/>
  <c r="U28" i="5"/>
  <c r="V28" i="5"/>
  <c r="W28" i="5"/>
  <c r="X28" i="5"/>
  <c r="Y28" i="5"/>
  <c r="Z28" i="5"/>
  <c r="AA28" i="5"/>
  <c r="AB28" i="5"/>
  <c r="AC28" i="5"/>
  <c r="T29" i="5"/>
  <c r="U29" i="5"/>
  <c r="V29" i="5"/>
  <c r="W29" i="5"/>
  <c r="X29" i="5"/>
  <c r="Y29" i="5"/>
  <c r="Z29" i="5"/>
  <c r="AA29" i="5"/>
  <c r="AB29" i="5"/>
  <c r="AC29" i="5"/>
  <c r="T30" i="5"/>
  <c r="U30" i="5"/>
  <c r="V30" i="5"/>
  <c r="W30" i="5"/>
  <c r="X30" i="5"/>
  <c r="Y30" i="5"/>
  <c r="Z30" i="5"/>
  <c r="AA30" i="5"/>
  <c r="AB30" i="5"/>
  <c r="AC30" i="5"/>
  <c r="T31" i="5"/>
  <c r="U31" i="5"/>
  <c r="V31" i="5"/>
  <c r="W31" i="5"/>
  <c r="X31" i="5"/>
  <c r="Y31" i="5"/>
  <c r="Z31" i="5"/>
  <c r="AA31" i="5"/>
  <c r="AB31" i="5"/>
  <c r="AC31" i="5"/>
  <c r="T32" i="5"/>
  <c r="U32" i="5"/>
  <c r="V32" i="5"/>
  <c r="W32" i="5"/>
  <c r="X32" i="5"/>
  <c r="Y32" i="5"/>
  <c r="Z32" i="5"/>
  <c r="AA32" i="5"/>
  <c r="AB32" i="5"/>
  <c r="AC32" i="5"/>
  <c r="T33" i="5"/>
  <c r="U33" i="5"/>
  <c r="V33" i="5"/>
  <c r="W33" i="5"/>
  <c r="X33" i="5"/>
  <c r="Y33" i="5"/>
  <c r="Z33" i="5"/>
  <c r="AA33" i="5"/>
  <c r="AB33" i="5"/>
  <c r="AC33" i="5"/>
  <c r="T34" i="5"/>
  <c r="U34" i="5"/>
  <c r="V34" i="5"/>
  <c r="W34" i="5"/>
  <c r="X34" i="5"/>
  <c r="Y34" i="5"/>
  <c r="Z34" i="5"/>
  <c r="AA34" i="5"/>
  <c r="AB34" i="5"/>
  <c r="AC34" i="5"/>
  <c r="T35" i="5"/>
  <c r="U35" i="5"/>
  <c r="V35" i="5"/>
  <c r="W35" i="5"/>
  <c r="X35" i="5"/>
  <c r="Y35" i="5"/>
  <c r="Z35" i="5"/>
  <c r="AA35" i="5"/>
  <c r="AB35" i="5"/>
  <c r="AC35" i="5"/>
  <c r="T36" i="5"/>
  <c r="U36" i="5"/>
  <c r="V36" i="5"/>
  <c r="W36" i="5"/>
  <c r="X36" i="5"/>
  <c r="Y36" i="5"/>
  <c r="Z36" i="5"/>
  <c r="AA36" i="5"/>
  <c r="AB36" i="5"/>
  <c r="AC36" i="5"/>
  <c r="T37" i="5"/>
  <c r="U37" i="5"/>
  <c r="V37" i="5"/>
  <c r="W37" i="5"/>
  <c r="X37" i="5"/>
  <c r="Y37" i="5"/>
  <c r="Z37" i="5"/>
  <c r="AA37" i="5"/>
  <c r="AB37" i="5"/>
  <c r="AC37" i="5"/>
  <c r="T38" i="5"/>
  <c r="U38" i="5"/>
  <c r="V38" i="5"/>
  <c r="W38" i="5"/>
  <c r="X38" i="5"/>
  <c r="Y38" i="5"/>
  <c r="Z38" i="5"/>
  <c r="AA38" i="5"/>
  <c r="AB38" i="5"/>
  <c r="AC38" i="5"/>
  <c r="T39" i="5"/>
  <c r="U39" i="5"/>
  <c r="V39" i="5"/>
  <c r="W39" i="5"/>
  <c r="X39" i="5"/>
  <c r="Y39" i="5"/>
  <c r="Z39" i="5"/>
  <c r="AA39" i="5"/>
  <c r="AB39" i="5"/>
  <c r="AC39" i="5"/>
  <c r="T40" i="5"/>
  <c r="U40" i="5"/>
  <c r="V40" i="5"/>
  <c r="W40" i="5"/>
  <c r="X40" i="5"/>
  <c r="Y40" i="5"/>
  <c r="Z40" i="5"/>
  <c r="AA40" i="5"/>
  <c r="AB40" i="5"/>
  <c r="AC40" i="5"/>
  <c r="T41" i="5"/>
  <c r="U41" i="5"/>
  <c r="V41" i="5"/>
  <c r="W41" i="5"/>
  <c r="X41" i="5"/>
  <c r="Y41" i="5"/>
  <c r="Z41" i="5"/>
  <c r="AA41" i="5"/>
  <c r="AB41" i="5"/>
  <c r="AC41" i="5"/>
  <c r="T42" i="5"/>
  <c r="U42" i="5"/>
  <c r="V42" i="5"/>
  <c r="W42" i="5"/>
  <c r="X42" i="5"/>
  <c r="Y42" i="5"/>
  <c r="Z42" i="5"/>
  <c r="AA42" i="5"/>
  <c r="AB42" i="5"/>
  <c r="AC42" i="5"/>
  <c r="T43" i="5"/>
  <c r="U43" i="5"/>
  <c r="V43" i="5"/>
  <c r="W43" i="5"/>
  <c r="X43" i="5"/>
  <c r="Y43" i="5"/>
  <c r="Z43" i="5"/>
  <c r="AA43" i="5"/>
  <c r="AB43" i="5"/>
  <c r="AC43" i="5"/>
  <c r="T44" i="5"/>
  <c r="U44" i="5"/>
  <c r="V44" i="5"/>
  <c r="W44" i="5"/>
  <c r="X44" i="5"/>
  <c r="Y44" i="5"/>
  <c r="Z44" i="5"/>
  <c r="AA44" i="5"/>
  <c r="AB44" i="5"/>
  <c r="AC44" i="5"/>
  <c r="T45" i="5"/>
  <c r="U45" i="5"/>
  <c r="V45" i="5"/>
  <c r="W45" i="5"/>
  <c r="X45" i="5"/>
  <c r="Y45" i="5"/>
  <c r="Z45" i="5"/>
  <c r="AA45" i="5"/>
  <c r="AB45" i="5"/>
  <c r="AC45" i="5"/>
  <c r="T46" i="5"/>
  <c r="U46" i="5"/>
  <c r="V46" i="5"/>
  <c r="W46" i="5"/>
  <c r="X46" i="5"/>
  <c r="Y46" i="5"/>
  <c r="Z46" i="5"/>
  <c r="AA46" i="5"/>
  <c r="AB46" i="5"/>
  <c r="U4" i="5"/>
  <c r="V4" i="5"/>
  <c r="W4" i="5"/>
  <c r="X4" i="5"/>
  <c r="Y4" i="5"/>
  <c r="Z4" i="5"/>
  <c r="AA4" i="5"/>
  <c r="AB4" i="5"/>
  <c r="AC4" i="5"/>
  <c r="G2" i="4" l="1"/>
  <c r="F2" i="4"/>
  <c r="BY44" i="5"/>
  <c r="BY20" i="5"/>
  <c r="BY46" i="5"/>
  <c r="BJ47" i="5"/>
  <c r="BY35" i="5"/>
  <c r="BY27" i="5"/>
  <c r="BY19" i="5"/>
  <c r="BY11" i="5"/>
  <c r="BY12" i="5"/>
  <c r="BB47" i="5"/>
  <c r="BY43" i="5"/>
  <c r="BA47" i="5"/>
  <c r="BY42" i="5"/>
  <c r="BY34" i="5"/>
  <c r="BY26" i="5"/>
  <c r="BY18" i="5"/>
  <c r="BY10" i="5"/>
  <c r="BY28" i="5"/>
  <c r="AL47" i="5"/>
  <c r="BQ47" i="5"/>
  <c r="AS47" i="5"/>
  <c r="AZ47" i="5"/>
  <c r="BX47" i="5"/>
  <c r="BY33" i="5"/>
  <c r="BY25" i="5"/>
  <c r="BY17" i="5"/>
  <c r="BY9" i="5"/>
  <c r="BR47" i="5"/>
  <c r="AT47" i="5"/>
  <c r="BI47" i="5"/>
  <c r="AK47" i="5"/>
  <c r="BP47" i="5"/>
  <c r="BH47" i="5"/>
  <c r="AR47" i="5"/>
  <c r="BY41" i="5"/>
  <c r="BO47" i="5"/>
  <c r="BG47" i="5"/>
  <c r="AY47" i="5"/>
  <c r="AQ47" i="5"/>
  <c r="BW47" i="5"/>
  <c r="BY40" i="5"/>
  <c r="BY32" i="5"/>
  <c r="BY24" i="5"/>
  <c r="BY16" i="5"/>
  <c r="BY8" i="5"/>
  <c r="BF47" i="5"/>
  <c r="BV47" i="5"/>
  <c r="BY39" i="5"/>
  <c r="BY31" i="5"/>
  <c r="BY23" i="5"/>
  <c r="BY15" i="5"/>
  <c r="BY7" i="5"/>
  <c r="BY36" i="5"/>
  <c r="AX47" i="5"/>
  <c r="BM47" i="5"/>
  <c r="AW47" i="5"/>
  <c r="BU47" i="5"/>
  <c r="BY38" i="5"/>
  <c r="BY30" i="5"/>
  <c r="BY22" i="5"/>
  <c r="BY14" i="5"/>
  <c r="BY6" i="5"/>
  <c r="BN47" i="5"/>
  <c r="AP47" i="5"/>
  <c r="BY4" i="5"/>
  <c r="BE47" i="5"/>
  <c r="AO47" i="5"/>
  <c r="BT47" i="5"/>
  <c r="BL47" i="5"/>
  <c r="BD47" i="5"/>
  <c r="AV47" i="5"/>
  <c r="AN47" i="5"/>
  <c r="BY45" i="5"/>
  <c r="BY37" i="5"/>
  <c r="BY29" i="5"/>
  <c r="BY21" i="5"/>
  <c r="BY13" i="5"/>
  <c r="BY5" i="5"/>
  <c r="AJ47" i="5"/>
  <c r="E4" i="5" a="1"/>
  <c r="BY47" i="5" l="1"/>
  <c r="E4" i="5"/>
  <c r="F5" i="5"/>
  <c r="N5" i="5"/>
  <c r="L6" i="5"/>
  <c r="J7" i="5"/>
  <c r="H8" i="5"/>
  <c r="F9" i="5"/>
  <c r="N9" i="5"/>
  <c r="L10" i="5"/>
  <c r="J11" i="5"/>
  <c r="H12" i="5"/>
  <c r="F13" i="5"/>
  <c r="N13" i="5"/>
  <c r="L14" i="5"/>
  <c r="J15" i="5"/>
  <c r="H16" i="5"/>
  <c r="F17" i="5"/>
  <c r="N17" i="5"/>
  <c r="L18" i="5"/>
  <c r="J19" i="5"/>
  <c r="H20" i="5"/>
  <c r="F21" i="5"/>
  <c r="N21" i="5"/>
  <c r="L22" i="5"/>
  <c r="J23" i="5"/>
  <c r="H24" i="5"/>
  <c r="F25" i="5"/>
  <c r="N25" i="5"/>
  <c r="L26" i="5"/>
  <c r="J27" i="5"/>
  <c r="H28" i="5"/>
  <c r="F29" i="5"/>
  <c r="N29" i="5"/>
  <c r="L30" i="5"/>
  <c r="J31" i="5"/>
  <c r="H32" i="5"/>
  <c r="F33" i="5"/>
  <c r="N33" i="5"/>
  <c r="L34" i="5"/>
  <c r="J35" i="5"/>
  <c r="H36" i="5"/>
  <c r="F37" i="5"/>
  <c r="N37" i="5"/>
  <c r="L38" i="5"/>
  <c r="J39" i="5"/>
  <c r="H40" i="5"/>
  <c r="F41" i="5"/>
  <c r="N41" i="5"/>
  <c r="L42" i="5"/>
  <c r="J43" i="5"/>
  <c r="H44" i="5"/>
  <c r="F45" i="5"/>
  <c r="N45" i="5"/>
  <c r="L46" i="5"/>
  <c r="G6" i="5"/>
  <c r="K12" i="5"/>
  <c r="M15" i="5"/>
  <c r="G18" i="5"/>
  <c r="K20" i="5"/>
  <c r="O22" i="5"/>
  <c r="I25" i="5"/>
  <c r="O26" i="5"/>
  <c r="K28" i="5"/>
  <c r="O30" i="5"/>
  <c r="I33" i="5"/>
  <c r="M35" i="5"/>
  <c r="G38" i="5"/>
  <c r="K40" i="5"/>
  <c r="O42" i="5"/>
  <c r="K44" i="5"/>
  <c r="O46" i="5"/>
  <c r="J5" i="5"/>
  <c r="J9" i="5"/>
  <c r="N11" i="5"/>
  <c r="J13" i="5"/>
  <c r="N15" i="5"/>
  <c r="H18" i="5"/>
  <c r="L20" i="5"/>
  <c r="F23" i="5"/>
  <c r="J25" i="5"/>
  <c r="N27" i="5"/>
  <c r="H30" i="5"/>
  <c r="L32" i="5"/>
  <c r="H34" i="5"/>
  <c r="L36" i="5"/>
  <c r="G5" i="5"/>
  <c r="O5" i="5"/>
  <c r="M6" i="5"/>
  <c r="K7" i="5"/>
  <c r="I8" i="5"/>
  <c r="G9" i="5"/>
  <c r="O9" i="5"/>
  <c r="M10" i="5"/>
  <c r="K11" i="5"/>
  <c r="I12" i="5"/>
  <c r="G13" i="5"/>
  <c r="O13" i="5"/>
  <c r="M14" i="5"/>
  <c r="K15" i="5"/>
  <c r="I16" i="5"/>
  <c r="G17" i="5"/>
  <c r="O17" i="5"/>
  <c r="M18" i="5"/>
  <c r="K19" i="5"/>
  <c r="I20" i="5"/>
  <c r="G21" i="5"/>
  <c r="O21" i="5"/>
  <c r="M22" i="5"/>
  <c r="K23" i="5"/>
  <c r="I24" i="5"/>
  <c r="G25" i="5"/>
  <c r="O25" i="5"/>
  <c r="M26" i="5"/>
  <c r="K27" i="5"/>
  <c r="I28" i="5"/>
  <c r="G29" i="5"/>
  <c r="O29" i="5"/>
  <c r="M30" i="5"/>
  <c r="K31" i="5"/>
  <c r="I32" i="5"/>
  <c r="G33" i="5"/>
  <c r="O33" i="5"/>
  <c r="M34" i="5"/>
  <c r="K35" i="5"/>
  <c r="I36" i="5"/>
  <c r="G37" i="5"/>
  <c r="O37" i="5"/>
  <c r="M38" i="5"/>
  <c r="K39" i="5"/>
  <c r="I40" i="5"/>
  <c r="G41" i="5"/>
  <c r="O41" i="5"/>
  <c r="M42" i="5"/>
  <c r="K43" i="5"/>
  <c r="I44" i="5"/>
  <c r="G45" i="5"/>
  <c r="O45" i="5"/>
  <c r="M46" i="5"/>
  <c r="O6" i="5"/>
  <c r="M7" i="5"/>
  <c r="K8" i="5"/>
  <c r="I9" i="5"/>
  <c r="G10" i="5"/>
  <c r="O10" i="5"/>
  <c r="M11" i="5"/>
  <c r="I13" i="5"/>
  <c r="O14" i="5"/>
  <c r="I17" i="5"/>
  <c r="M19" i="5"/>
  <c r="M23" i="5"/>
  <c r="G26" i="5"/>
  <c r="G30" i="5"/>
  <c r="K32" i="5"/>
  <c r="K36" i="5"/>
  <c r="O38" i="5"/>
  <c r="I41" i="5"/>
  <c r="M43" i="5"/>
  <c r="G46" i="5"/>
  <c r="F7" i="5"/>
  <c r="N7" i="5"/>
  <c r="H10" i="5"/>
  <c r="L12" i="5"/>
  <c r="F15" i="5"/>
  <c r="J17" i="5"/>
  <c r="N19" i="5"/>
  <c r="H22" i="5"/>
  <c r="L24" i="5"/>
  <c r="F27" i="5"/>
  <c r="J29" i="5"/>
  <c r="H5" i="5"/>
  <c r="F6" i="5"/>
  <c r="N6" i="5"/>
  <c r="L7" i="5"/>
  <c r="J8" i="5"/>
  <c r="H9" i="5"/>
  <c r="F10" i="5"/>
  <c r="N10" i="5"/>
  <c r="L11" i="5"/>
  <c r="J12" i="5"/>
  <c r="H13" i="5"/>
  <c r="F14" i="5"/>
  <c r="N14" i="5"/>
  <c r="L15" i="5"/>
  <c r="J16" i="5"/>
  <c r="H17" i="5"/>
  <c r="F18" i="5"/>
  <c r="N18" i="5"/>
  <c r="L19" i="5"/>
  <c r="J20" i="5"/>
  <c r="H21" i="5"/>
  <c r="F22" i="5"/>
  <c r="N22" i="5"/>
  <c r="L23" i="5"/>
  <c r="J24" i="5"/>
  <c r="H25" i="5"/>
  <c r="F26" i="5"/>
  <c r="N26" i="5"/>
  <c r="L27" i="5"/>
  <c r="J28" i="5"/>
  <c r="H29" i="5"/>
  <c r="F30" i="5"/>
  <c r="N30" i="5"/>
  <c r="L31" i="5"/>
  <c r="J32" i="5"/>
  <c r="H33" i="5"/>
  <c r="F34" i="5"/>
  <c r="N34" i="5"/>
  <c r="L35" i="5"/>
  <c r="J36" i="5"/>
  <c r="H37" i="5"/>
  <c r="F38" i="5"/>
  <c r="N38" i="5"/>
  <c r="L39" i="5"/>
  <c r="J40" i="5"/>
  <c r="H41" i="5"/>
  <c r="F42" i="5"/>
  <c r="N42" i="5"/>
  <c r="L43" i="5"/>
  <c r="J44" i="5"/>
  <c r="H45" i="5"/>
  <c r="F46" i="5"/>
  <c r="N46" i="5"/>
  <c r="I5" i="5"/>
  <c r="G14" i="5"/>
  <c r="K16" i="5"/>
  <c r="O18" i="5"/>
  <c r="I21" i="5"/>
  <c r="G22" i="5"/>
  <c r="K24" i="5"/>
  <c r="M27" i="5"/>
  <c r="I29" i="5"/>
  <c r="M31" i="5"/>
  <c r="G34" i="5"/>
  <c r="O34" i="5"/>
  <c r="I37" i="5"/>
  <c r="M39" i="5"/>
  <c r="G42" i="5"/>
  <c r="I45" i="5"/>
  <c r="H6" i="5"/>
  <c r="L8" i="5"/>
  <c r="F11" i="5"/>
  <c r="H14" i="5"/>
  <c r="L16" i="5"/>
  <c r="F19" i="5"/>
  <c r="J21" i="5"/>
  <c r="N23" i="5"/>
  <c r="H26" i="5"/>
  <c r="L28" i="5"/>
  <c r="F31" i="5"/>
  <c r="J33" i="5"/>
  <c r="F35" i="5"/>
  <c r="N35" i="5"/>
  <c r="K5" i="5"/>
  <c r="I7" i="5"/>
  <c r="L9" i="5"/>
  <c r="O11" i="5"/>
  <c r="M13" i="5"/>
  <c r="F16" i="5"/>
  <c r="I18" i="5"/>
  <c r="G20" i="5"/>
  <c r="J22" i="5"/>
  <c r="M24" i="5"/>
  <c r="K26" i="5"/>
  <c r="N28" i="5"/>
  <c r="G31" i="5"/>
  <c r="N32" i="5"/>
  <c r="G35" i="5"/>
  <c r="O36" i="5"/>
  <c r="K38" i="5"/>
  <c r="G40" i="5"/>
  <c r="M41" i="5"/>
  <c r="I43" i="5"/>
  <c r="O44" i="5"/>
  <c r="K46" i="5"/>
  <c r="O28" i="5"/>
  <c r="O32" i="5"/>
  <c r="J37" i="5"/>
  <c r="L40" i="5"/>
  <c r="N43" i="5"/>
  <c r="F8" i="5"/>
  <c r="G12" i="5"/>
  <c r="M16" i="5"/>
  <c r="N20" i="5"/>
  <c r="O24" i="5"/>
  <c r="K29" i="5"/>
  <c r="K33" i="5"/>
  <c r="K37" i="5"/>
  <c r="M40" i="5"/>
  <c r="O43" i="5"/>
  <c r="G8" i="5"/>
  <c r="M12" i="5"/>
  <c r="N16" i="5"/>
  <c r="O20" i="5"/>
  <c r="K25" i="5"/>
  <c r="L29" i="5"/>
  <c r="L33" i="5"/>
  <c r="L37" i="5"/>
  <c r="N40" i="5"/>
  <c r="F44" i="5"/>
  <c r="M8" i="5"/>
  <c r="K10" i="5"/>
  <c r="G15" i="5"/>
  <c r="H19" i="5"/>
  <c r="I23" i="5"/>
  <c r="O27" i="5"/>
  <c r="O31" i="5"/>
  <c r="F36" i="5"/>
  <c r="I39" i="5"/>
  <c r="K42" i="5"/>
  <c r="M45" i="5"/>
  <c r="K6" i="5"/>
  <c r="G11" i="5"/>
  <c r="H15" i="5"/>
  <c r="I19" i="5"/>
  <c r="O23" i="5"/>
  <c r="F28" i="5"/>
  <c r="F32" i="5"/>
  <c r="G36" i="5"/>
  <c r="N39" i="5"/>
  <c r="F43" i="5"/>
  <c r="H46" i="5"/>
  <c r="G7" i="5"/>
  <c r="H11" i="5"/>
  <c r="I15" i="5"/>
  <c r="O19" i="5"/>
  <c r="F24" i="5"/>
  <c r="G28" i="5"/>
  <c r="G32" i="5"/>
  <c r="M36" i="5"/>
  <c r="O39" i="5"/>
  <c r="G43" i="5"/>
  <c r="I46" i="5"/>
  <c r="H7" i="5"/>
  <c r="I11" i="5"/>
  <c r="L13" i="5"/>
  <c r="M17" i="5"/>
  <c r="I22" i="5"/>
  <c r="J26" i="5"/>
  <c r="K30" i="5"/>
  <c r="K34" i="5"/>
  <c r="J38" i="5"/>
  <c r="L41" i="5"/>
  <c r="N44" i="5"/>
  <c r="L5" i="5"/>
  <c r="O7" i="5"/>
  <c r="M9" i="5"/>
  <c r="F12" i="5"/>
  <c r="I14" i="5"/>
  <c r="G16" i="5"/>
  <c r="J18" i="5"/>
  <c r="M20" i="5"/>
  <c r="K22" i="5"/>
  <c r="N24" i="5"/>
  <c r="G27" i="5"/>
  <c r="H31" i="5"/>
  <c r="H35" i="5"/>
  <c r="F39" i="5"/>
  <c r="H42" i="5"/>
  <c r="J45" i="5"/>
  <c r="M5" i="5"/>
  <c r="I10" i="5"/>
  <c r="J14" i="5"/>
  <c r="K18" i="5"/>
  <c r="G23" i="5"/>
  <c r="H27" i="5"/>
  <c r="I31" i="5"/>
  <c r="I35" i="5"/>
  <c r="G39" i="5"/>
  <c r="I42" i="5"/>
  <c r="K45" i="5"/>
  <c r="I6" i="5"/>
  <c r="J10" i="5"/>
  <c r="K14" i="5"/>
  <c r="G19" i="5"/>
  <c r="H23" i="5"/>
  <c r="I27" i="5"/>
  <c r="N31" i="5"/>
  <c r="O35" i="5"/>
  <c r="H39" i="5"/>
  <c r="J42" i="5"/>
  <c r="L45" i="5"/>
  <c r="J6" i="5"/>
  <c r="N12" i="5"/>
  <c r="O16" i="5"/>
  <c r="K21" i="5"/>
  <c r="L25" i="5"/>
  <c r="M29" i="5"/>
  <c r="M33" i="5"/>
  <c r="M37" i="5"/>
  <c r="O40" i="5"/>
  <c r="G44" i="5"/>
  <c r="N8" i="5"/>
  <c r="O12" i="5"/>
  <c r="K17" i="5"/>
  <c r="L21" i="5"/>
  <c r="M25" i="5"/>
  <c r="I30" i="5"/>
  <c r="I34" i="5"/>
  <c r="H38" i="5"/>
  <c r="J41" i="5"/>
  <c r="L44" i="5"/>
  <c r="O8" i="5"/>
  <c r="K13" i="5"/>
  <c r="L17" i="5"/>
  <c r="M21" i="5"/>
  <c r="I26" i="5"/>
  <c r="J30" i="5"/>
  <c r="J34" i="5"/>
  <c r="I38" i="5"/>
  <c r="K41" i="5"/>
  <c r="M44" i="5"/>
  <c r="K9" i="5"/>
  <c r="O15" i="5"/>
  <c r="F20" i="5"/>
  <c r="G24" i="5"/>
  <c r="M28" i="5"/>
  <c r="M32" i="5"/>
  <c r="N36" i="5"/>
  <c r="F40" i="5"/>
  <c r="H43" i="5"/>
  <c r="J46" i="5"/>
  <c r="D2" i="4"/>
  <c r="C2" i="3"/>
  <c r="C9" i="3"/>
  <c r="C17" i="3"/>
  <c r="C25" i="3"/>
  <c r="C33" i="3"/>
  <c r="C41" i="3"/>
  <c r="C49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185" i="3"/>
  <c r="C193" i="3"/>
  <c r="C201" i="3"/>
  <c r="C209" i="3"/>
  <c r="C225" i="3"/>
  <c r="C233" i="3"/>
  <c r="C241" i="3"/>
  <c r="C249" i="3"/>
  <c r="C202" i="3"/>
  <c r="C203" i="3"/>
  <c r="C205" i="3"/>
  <c r="C207" i="3"/>
  <c r="C208" i="3"/>
  <c r="C210" i="3"/>
  <c r="C211" i="3"/>
  <c r="C213" i="3"/>
  <c r="C214" i="3"/>
  <c r="C215" i="3"/>
  <c r="C216" i="3"/>
  <c r="C217" i="3"/>
  <c r="C218" i="3"/>
  <c r="C219" i="3"/>
  <c r="C221" i="3"/>
  <c r="C222" i="3"/>
  <c r="C223" i="3"/>
  <c r="C224" i="3"/>
  <c r="C226" i="3"/>
  <c r="C227" i="3"/>
  <c r="C229" i="3"/>
  <c r="C230" i="3"/>
  <c r="C231" i="3"/>
  <c r="C234" i="3"/>
  <c r="C235" i="3"/>
  <c r="C236" i="3"/>
  <c r="C237" i="3"/>
  <c r="C238" i="3"/>
  <c r="C239" i="3"/>
  <c r="C242" i="3"/>
  <c r="C243" i="3"/>
  <c r="C245" i="3"/>
  <c r="C246" i="3"/>
  <c r="C247" i="3"/>
  <c r="C250" i="3"/>
  <c r="C251" i="3"/>
  <c r="C204" i="3"/>
  <c r="C206" i="3"/>
  <c r="C212" i="3"/>
  <c r="C220" i="3"/>
  <c r="C228" i="3"/>
  <c r="C232" i="3"/>
  <c r="C240" i="3"/>
  <c r="C244" i="3"/>
  <c r="C248" i="3"/>
  <c r="C3" i="3"/>
  <c r="C4" i="3"/>
  <c r="C5" i="3"/>
  <c r="C6" i="3"/>
  <c r="C7" i="3"/>
  <c r="C8" i="3"/>
  <c r="C10" i="3"/>
  <c r="C11" i="3"/>
  <c r="C12" i="3"/>
  <c r="C13" i="3"/>
  <c r="C14" i="3"/>
  <c r="C15" i="3"/>
  <c r="C16" i="3"/>
  <c r="C18" i="3"/>
  <c r="C19" i="3"/>
  <c r="C20" i="3"/>
  <c r="C21" i="3"/>
  <c r="C22" i="3"/>
  <c r="C23" i="3"/>
  <c r="C24" i="3"/>
  <c r="C26" i="3"/>
  <c r="C27" i="3"/>
  <c r="C28" i="3"/>
  <c r="C29" i="3"/>
  <c r="C30" i="3"/>
  <c r="C31" i="3"/>
  <c r="C32" i="3"/>
  <c r="C34" i="3"/>
  <c r="C35" i="3"/>
  <c r="C36" i="3"/>
  <c r="C37" i="3"/>
  <c r="C38" i="3"/>
  <c r="C39" i="3"/>
  <c r="C40" i="3"/>
  <c r="C42" i="3"/>
  <c r="C43" i="3"/>
  <c r="C44" i="3"/>
  <c r="C45" i="3"/>
  <c r="C46" i="3"/>
  <c r="C47" i="3"/>
  <c r="C48" i="3"/>
  <c r="C50" i="3"/>
  <c r="C51" i="3"/>
  <c r="C52" i="3"/>
  <c r="C53" i="3"/>
  <c r="C54" i="3"/>
  <c r="C55" i="3"/>
  <c r="C56" i="3"/>
  <c r="C58" i="3"/>
  <c r="C59" i="3"/>
  <c r="C60" i="3"/>
  <c r="C61" i="3"/>
  <c r="C62" i="3"/>
  <c r="C63" i="3"/>
  <c r="C64" i="3"/>
  <c r="C66" i="3"/>
  <c r="C67" i="3"/>
  <c r="C68" i="3"/>
  <c r="C69" i="3"/>
  <c r="C70" i="3"/>
  <c r="C71" i="3"/>
  <c r="C72" i="3"/>
  <c r="C74" i="3"/>
  <c r="C75" i="3"/>
  <c r="C76" i="3"/>
  <c r="C77" i="3"/>
  <c r="C78" i="3"/>
  <c r="C79" i="3"/>
  <c r="C80" i="3"/>
  <c r="C82" i="3"/>
  <c r="C83" i="3"/>
  <c r="C84" i="3"/>
  <c r="C85" i="3"/>
  <c r="C86" i="3"/>
  <c r="C87" i="3"/>
  <c r="C88" i="3"/>
  <c r="C90" i="3"/>
  <c r="C91" i="3"/>
  <c r="C92" i="3"/>
  <c r="C93" i="3"/>
  <c r="C94" i="3"/>
  <c r="C95" i="3"/>
  <c r="C96" i="3"/>
  <c r="C98" i="3"/>
  <c r="C99" i="3"/>
  <c r="C100" i="3"/>
  <c r="C101" i="3"/>
  <c r="C102" i="3"/>
  <c r="C103" i="3"/>
  <c r="C104" i="3"/>
  <c r="C106" i="3"/>
  <c r="C107" i="3"/>
  <c r="C108" i="3"/>
  <c r="C109" i="3"/>
  <c r="C110" i="3"/>
  <c r="C111" i="3"/>
  <c r="C112" i="3"/>
  <c r="C114" i="3"/>
  <c r="C115" i="3"/>
  <c r="C116" i="3"/>
  <c r="C117" i="3"/>
  <c r="C118" i="3"/>
  <c r="C119" i="3"/>
  <c r="C120" i="3"/>
  <c r="C122" i="3"/>
  <c r="C123" i="3"/>
  <c r="C124" i="3"/>
  <c r="C125" i="3"/>
  <c r="C126" i="3"/>
  <c r="C127" i="3"/>
  <c r="C128" i="3"/>
  <c r="C130" i="3"/>
  <c r="C131" i="3"/>
  <c r="C132" i="3"/>
  <c r="C133" i="3"/>
  <c r="C134" i="3"/>
  <c r="C135" i="3"/>
  <c r="C136" i="3"/>
  <c r="C138" i="3"/>
  <c r="C139" i="3"/>
  <c r="C140" i="3"/>
  <c r="C141" i="3"/>
  <c r="C142" i="3"/>
  <c r="C143" i="3"/>
  <c r="C144" i="3"/>
  <c r="C146" i="3"/>
  <c r="C147" i="3"/>
  <c r="C148" i="3"/>
  <c r="C149" i="3"/>
  <c r="C150" i="3"/>
  <c r="C151" i="3"/>
  <c r="C152" i="3"/>
  <c r="C154" i="3"/>
  <c r="C155" i="3"/>
  <c r="C156" i="3"/>
  <c r="C157" i="3"/>
  <c r="C158" i="3"/>
  <c r="C159" i="3"/>
  <c r="C160" i="3"/>
  <c r="C162" i="3"/>
  <c r="C163" i="3"/>
  <c r="C164" i="3"/>
  <c r="C165" i="3"/>
  <c r="C166" i="3"/>
  <c r="C167" i="3"/>
  <c r="C168" i="3"/>
  <c r="C170" i="3"/>
  <c r="C171" i="3"/>
  <c r="C172" i="3"/>
  <c r="C173" i="3"/>
  <c r="C174" i="3"/>
  <c r="C175" i="3"/>
  <c r="C176" i="3"/>
  <c r="C178" i="3"/>
  <c r="C179" i="3"/>
  <c r="C180" i="3"/>
  <c r="C181" i="3"/>
  <c r="C182" i="3"/>
  <c r="C183" i="3"/>
  <c r="C184" i="3"/>
  <c r="C186" i="3"/>
  <c r="C187" i="3"/>
  <c r="C188" i="3"/>
  <c r="C189" i="3"/>
  <c r="C190" i="3"/>
  <c r="C191" i="3"/>
  <c r="C192" i="3"/>
  <c r="C194" i="3"/>
  <c r="C195" i="3"/>
  <c r="C196" i="3"/>
  <c r="C197" i="3"/>
  <c r="C198" i="3"/>
  <c r="C199" i="3"/>
  <c r="C200" i="3"/>
  <c r="H2" i="4" l="1"/>
  <c r="P42" i="5"/>
  <c r="P10" i="5"/>
  <c r="P43" i="5"/>
  <c r="P8" i="5"/>
  <c r="P27" i="5"/>
  <c r="P9" i="5"/>
  <c r="P20" i="5"/>
  <c r="P24" i="5"/>
  <c r="P34" i="5"/>
  <c r="P21" i="5"/>
  <c r="P22" i="5"/>
  <c r="P7" i="5"/>
  <c r="P41" i="5"/>
  <c r="P39" i="5"/>
  <c r="P14" i="5"/>
  <c r="P33" i="5"/>
  <c r="P45" i="5"/>
  <c r="P13" i="5"/>
  <c r="P40" i="5"/>
  <c r="P35" i="5"/>
  <c r="P38" i="5"/>
  <c r="P6" i="5"/>
  <c r="P15" i="5"/>
  <c r="P25" i="5"/>
  <c r="P29" i="5"/>
  <c r="P23" i="5"/>
  <c r="P32" i="5"/>
  <c r="P46" i="5"/>
  <c r="P28" i="5"/>
  <c r="P19" i="5"/>
  <c r="P26" i="5"/>
  <c r="P37" i="5"/>
  <c r="P5" i="5"/>
  <c r="P12" i="5"/>
  <c r="P36" i="5"/>
  <c r="P44" i="5"/>
  <c r="P16" i="5"/>
  <c r="P18" i="5"/>
  <c r="P31" i="5"/>
  <c r="P11" i="5"/>
  <c r="P30" i="5"/>
  <c r="P17" i="5"/>
  <c r="O4" i="5"/>
  <c r="O47" i="5" s="1"/>
  <c r="G4" i="5"/>
  <c r="G47" i="5" s="1"/>
  <c r="H4" i="5"/>
  <c r="H47" i="5" s="1"/>
  <c r="I4" i="5"/>
  <c r="I47" i="5" s="1"/>
  <c r="K4" i="5"/>
  <c r="K47" i="5" s="1"/>
  <c r="L4" i="5"/>
  <c r="L47" i="5" s="1"/>
  <c r="M4" i="5"/>
  <c r="M47" i="5" s="1"/>
  <c r="N4" i="5"/>
  <c r="N47" i="5" s="1"/>
  <c r="J4" i="5"/>
  <c r="J47" i="5" s="1"/>
  <c r="P4" i="5" l="1"/>
  <c r="F47" i="5"/>
  <c r="P47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<sst xmlns="http://schemas.openxmlformats.org/spreadsheetml/2006/main" count="49" uniqueCount="29">
  <si>
    <t>Probability</t>
  </si>
  <si>
    <t> Mean</t>
  </si>
  <si>
    <t>StdDev</t>
  </si>
  <si>
    <t>Age</t>
  </si>
  <si>
    <t>Group</t>
  </si>
  <si>
    <t>Sample</t>
  </si>
  <si>
    <t>STDDEV</t>
  </si>
  <si>
    <t>EXPECTED VALUE</t>
  </si>
  <si>
    <t>COUNT</t>
  </si>
  <si>
    <t xml:space="preserve"> CONFIDENCE RATE</t>
  </si>
  <si>
    <t>Estimation of p parameter</t>
  </si>
  <si>
    <t xml:space="preserve"> Confidence Interval</t>
  </si>
  <si>
    <t>Z</t>
  </si>
  <si>
    <t>Sample data</t>
  </si>
  <si>
    <t>Number of cats</t>
  </si>
  <si>
    <t>Age of partner</t>
  </si>
  <si>
    <t>CATS</t>
  </si>
  <si>
    <t>AGE</t>
  </si>
  <si>
    <t>Marginal</t>
  </si>
  <si>
    <t>H0: X uncorrelated Y</t>
  </si>
  <si>
    <t>H1:X correlated Y</t>
  </si>
  <si>
    <t>Test</t>
  </si>
  <si>
    <t>Test&gt;0,05 - H0 verified</t>
  </si>
  <si>
    <t>AGE OF PARTNER</t>
  </si>
  <si>
    <t>Il sotto-campione analizzato è composto da 64 individui, appartenenti al gruppo 1 della popolazione. La media campionaria del sotto-campione è pari a 53,63. Con il test Z andiamo a confrontare la media campionaria con quella della popolazione per stabilire se sono significativamente diverse o meno. L'intervallo critico è pari a [-1,96;1,96] per un livello di confidenza pari al 95% e il valore Z ottenuto è pari a 0,959. Z ricade nell'intervallo quindi possiamo affermare che la media campionaria è uguale a quella della popolazione.</t>
  </si>
  <si>
    <t>Age of the 160th</t>
  </si>
  <si>
    <t>Y(Age)</t>
  </si>
  <si>
    <t>X(Rank)</t>
  </si>
  <si>
    <t xml:space="preserve"> X uncorrelated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</si>
</sst>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8"/>
      <name val="Comic Sans MS"/>
      <family val="4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12" xfId="0" applyBorder="1"/>
    <xf numFmtId="0" fontId="1" fillId="0" borderId="11" xfId="0" applyFont="1" applyBorder="1"/>
    <xf numFmtId="0" fontId="0" fillId="0" borderId="13" xfId="0" applyBorder="1"/>
    <xf numFmtId="1" fontId="0" fillId="0" borderId="2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102197778731765E-2"/>
          <c:y val="0.1012731250744739"/>
          <c:w val="0.89987909161129942"/>
          <c:h val="0.84321963327053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X(Rank)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'Linear Regression'!$A$2:$A$65</c:f>
              <c:numCache>
                <c:formatCode>General</c:formatCode>
                <c:ptCount val="64"/>
                <c:pt idx="0">
                  <c:v>48</c:v>
                </c:pt>
                <c:pt idx="1">
                  <c:v>31</c:v>
                </c:pt>
                <c:pt idx="2">
                  <c:v>73</c:v>
                </c:pt>
                <c:pt idx="3">
                  <c:v>31</c:v>
                </c:pt>
                <c:pt idx="4">
                  <c:v>55</c:v>
                </c:pt>
                <c:pt idx="5">
                  <c:v>36</c:v>
                </c:pt>
                <c:pt idx="6">
                  <c:v>30</c:v>
                </c:pt>
                <c:pt idx="7">
                  <c:v>31</c:v>
                </c:pt>
                <c:pt idx="8">
                  <c:v>34</c:v>
                </c:pt>
                <c:pt idx="9">
                  <c:v>42</c:v>
                </c:pt>
                <c:pt idx="10">
                  <c:v>43</c:v>
                </c:pt>
                <c:pt idx="11">
                  <c:v>19</c:v>
                </c:pt>
                <c:pt idx="12">
                  <c:v>57</c:v>
                </c:pt>
                <c:pt idx="13">
                  <c:v>48</c:v>
                </c:pt>
                <c:pt idx="14">
                  <c:v>55</c:v>
                </c:pt>
                <c:pt idx="15">
                  <c:v>87</c:v>
                </c:pt>
                <c:pt idx="16">
                  <c:v>55</c:v>
                </c:pt>
                <c:pt idx="17">
                  <c:v>37</c:v>
                </c:pt>
                <c:pt idx="18">
                  <c:v>49</c:v>
                </c:pt>
                <c:pt idx="19">
                  <c:v>55</c:v>
                </c:pt>
                <c:pt idx="20">
                  <c:v>73</c:v>
                </c:pt>
                <c:pt idx="21">
                  <c:v>50</c:v>
                </c:pt>
                <c:pt idx="22">
                  <c:v>38</c:v>
                </c:pt>
                <c:pt idx="23">
                  <c:v>23</c:v>
                </c:pt>
                <c:pt idx="24">
                  <c:v>60</c:v>
                </c:pt>
                <c:pt idx="25">
                  <c:v>48</c:v>
                </c:pt>
                <c:pt idx="26">
                  <c:v>72</c:v>
                </c:pt>
                <c:pt idx="27">
                  <c:v>76</c:v>
                </c:pt>
                <c:pt idx="28">
                  <c:v>67</c:v>
                </c:pt>
                <c:pt idx="29">
                  <c:v>66</c:v>
                </c:pt>
                <c:pt idx="30">
                  <c:v>47</c:v>
                </c:pt>
                <c:pt idx="31">
                  <c:v>61</c:v>
                </c:pt>
                <c:pt idx="32">
                  <c:v>44</c:v>
                </c:pt>
                <c:pt idx="33">
                  <c:v>78</c:v>
                </c:pt>
                <c:pt idx="34">
                  <c:v>45</c:v>
                </c:pt>
                <c:pt idx="35">
                  <c:v>62</c:v>
                </c:pt>
                <c:pt idx="36">
                  <c:v>71</c:v>
                </c:pt>
                <c:pt idx="37">
                  <c:v>44</c:v>
                </c:pt>
                <c:pt idx="38">
                  <c:v>86</c:v>
                </c:pt>
                <c:pt idx="39">
                  <c:v>59</c:v>
                </c:pt>
                <c:pt idx="40">
                  <c:v>59</c:v>
                </c:pt>
                <c:pt idx="41">
                  <c:v>41</c:v>
                </c:pt>
                <c:pt idx="42">
                  <c:v>39</c:v>
                </c:pt>
                <c:pt idx="43">
                  <c:v>61</c:v>
                </c:pt>
                <c:pt idx="44">
                  <c:v>58</c:v>
                </c:pt>
                <c:pt idx="45">
                  <c:v>66</c:v>
                </c:pt>
                <c:pt idx="46">
                  <c:v>90</c:v>
                </c:pt>
                <c:pt idx="47">
                  <c:v>20</c:v>
                </c:pt>
                <c:pt idx="48">
                  <c:v>66</c:v>
                </c:pt>
                <c:pt idx="49">
                  <c:v>43</c:v>
                </c:pt>
                <c:pt idx="50">
                  <c:v>55</c:v>
                </c:pt>
                <c:pt idx="51">
                  <c:v>47</c:v>
                </c:pt>
                <c:pt idx="52">
                  <c:v>61</c:v>
                </c:pt>
                <c:pt idx="53">
                  <c:v>47</c:v>
                </c:pt>
                <c:pt idx="54">
                  <c:v>73</c:v>
                </c:pt>
                <c:pt idx="55">
                  <c:v>50</c:v>
                </c:pt>
                <c:pt idx="56">
                  <c:v>66</c:v>
                </c:pt>
                <c:pt idx="57">
                  <c:v>59</c:v>
                </c:pt>
                <c:pt idx="58">
                  <c:v>80</c:v>
                </c:pt>
                <c:pt idx="59">
                  <c:v>42</c:v>
                </c:pt>
                <c:pt idx="60">
                  <c:v>50</c:v>
                </c:pt>
                <c:pt idx="61">
                  <c:v>87</c:v>
                </c:pt>
                <c:pt idx="62">
                  <c:v>29</c:v>
                </c:pt>
                <c:pt idx="63">
                  <c:v>57</c:v>
                </c:pt>
              </c:numCache>
            </c:numRef>
          </c:xVal>
          <c:yVal>
            <c:numRef>
              <c:f>'Linear Regression'!$B$2:$B$65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F-4F07-A6A7-A11036C9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75007"/>
        <c:axId val="1264202367"/>
      </c:scatterChart>
      <c:valAx>
        <c:axId val="1264175007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4202367"/>
        <c:crosses val="autoZero"/>
        <c:crossBetween val="midCat"/>
      </c:valAx>
      <c:valAx>
        <c:axId val="126420236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26417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X(Rank)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'Linear Regression'!$A$2:$A$65</c:f>
              <c:numCache>
                <c:formatCode>General</c:formatCode>
                <c:ptCount val="64"/>
                <c:pt idx="0">
                  <c:v>48</c:v>
                </c:pt>
                <c:pt idx="1">
                  <c:v>31</c:v>
                </c:pt>
                <c:pt idx="2">
                  <c:v>73</c:v>
                </c:pt>
                <c:pt idx="3">
                  <c:v>31</c:v>
                </c:pt>
                <c:pt idx="4">
                  <c:v>55</c:v>
                </c:pt>
                <c:pt idx="5">
                  <c:v>36</c:v>
                </c:pt>
                <c:pt idx="6">
                  <c:v>30</c:v>
                </c:pt>
                <c:pt idx="7">
                  <c:v>31</c:v>
                </c:pt>
                <c:pt idx="8">
                  <c:v>34</c:v>
                </c:pt>
                <c:pt idx="9">
                  <c:v>42</c:v>
                </c:pt>
                <c:pt idx="10">
                  <c:v>43</c:v>
                </c:pt>
                <c:pt idx="11">
                  <c:v>19</c:v>
                </c:pt>
                <c:pt idx="12">
                  <c:v>57</c:v>
                </c:pt>
                <c:pt idx="13">
                  <c:v>48</c:v>
                </c:pt>
                <c:pt idx="14">
                  <c:v>55</c:v>
                </c:pt>
                <c:pt idx="15">
                  <c:v>87</c:v>
                </c:pt>
                <c:pt idx="16">
                  <c:v>55</c:v>
                </c:pt>
                <c:pt idx="17">
                  <c:v>37</c:v>
                </c:pt>
                <c:pt idx="18">
                  <c:v>49</c:v>
                </c:pt>
                <c:pt idx="19">
                  <c:v>55</c:v>
                </c:pt>
                <c:pt idx="20">
                  <c:v>73</c:v>
                </c:pt>
                <c:pt idx="21">
                  <c:v>50</c:v>
                </c:pt>
                <c:pt idx="22">
                  <c:v>38</c:v>
                </c:pt>
                <c:pt idx="23">
                  <c:v>23</c:v>
                </c:pt>
                <c:pt idx="24">
                  <c:v>60</c:v>
                </c:pt>
                <c:pt idx="25">
                  <c:v>48</c:v>
                </c:pt>
                <c:pt idx="26">
                  <c:v>72</c:v>
                </c:pt>
                <c:pt idx="27">
                  <c:v>76</c:v>
                </c:pt>
                <c:pt idx="28">
                  <c:v>67</c:v>
                </c:pt>
                <c:pt idx="29">
                  <c:v>66</c:v>
                </c:pt>
                <c:pt idx="30">
                  <c:v>47</c:v>
                </c:pt>
                <c:pt idx="31">
                  <c:v>61</c:v>
                </c:pt>
                <c:pt idx="32">
                  <c:v>44</c:v>
                </c:pt>
                <c:pt idx="33">
                  <c:v>78</c:v>
                </c:pt>
                <c:pt idx="34">
                  <c:v>45</c:v>
                </c:pt>
                <c:pt idx="35">
                  <c:v>62</c:v>
                </c:pt>
                <c:pt idx="36">
                  <c:v>71</c:v>
                </c:pt>
                <c:pt idx="37">
                  <c:v>44</c:v>
                </c:pt>
                <c:pt idx="38">
                  <c:v>86</c:v>
                </c:pt>
                <c:pt idx="39">
                  <c:v>59</c:v>
                </c:pt>
                <c:pt idx="40">
                  <c:v>59</c:v>
                </c:pt>
                <c:pt idx="41">
                  <c:v>41</c:v>
                </c:pt>
                <c:pt idx="42">
                  <c:v>39</c:v>
                </c:pt>
                <c:pt idx="43">
                  <c:v>61</c:v>
                </c:pt>
                <c:pt idx="44">
                  <c:v>58</c:v>
                </c:pt>
                <c:pt idx="45">
                  <c:v>66</c:v>
                </c:pt>
                <c:pt idx="46">
                  <c:v>90</c:v>
                </c:pt>
                <c:pt idx="47">
                  <c:v>20</c:v>
                </c:pt>
                <c:pt idx="48">
                  <c:v>66</c:v>
                </c:pt>
                <c:pt idx="49">
                  <c:v>43</c:v>
                </c:pt>
                <c:pt idx="50">
                  <c:v>55</c:v>
                </c:pt>
                <c:pt idx="51">
                  <c:v>47</c:v>
                </c:pt>
                <c:pt idx="52">
                  <c:v>61</c:v>
                </c:pt>
                <c:pt idx="53">
                  <c:v>47</c:v>
                </c:pt>
                <c:pt idx="54">
                  <c:v>73</c:v>
                </c:pt>
                <c:pt idx="55">
                  <c:v>50</c:v>
                </c:pt>
                <c:pt idx="56">
                  <c:v>66</c:v>
                </c:pt>
                <c:pt idx="57">
                  <c:v>59</c:v>
                </c:pt>
                <c:pt idx="58">
                  <c:v>80</c:v>
                </c:pt>
                <c:pt idx="59">
                  <c:v>42</c:v>
                </c:pt>
                <c:pt idx="60">
                  <c:v>50</c:v>
                </c:pt>
                <c:pt idx="61">
                  <c:v>87</c:v>
                </c:pt>
                <c:pt idx="62">
                  <c:v>29</c:v>
                </c:pt>
                <c:pt idx="63">
                  <c:v>57</c:v>
                </c:pt>
              </c:numCache>
            </c:numRef>
          </c:xVal>
          <c:yVal>
            <c:numRef>
              <c:f>'Linear Regression'!$B$2:$B$65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6-4272-877A-796457D5C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07279"/>
        <c:axId val="1165506799"/>
      </c:scatterChart>
      <c:valAx>
        <c:axId val="11655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06799"/>
        <c:crosses val="autoZero"/>
        <c:crossBetween val="midCat"/>
      </c:valAx>
      <c:valAx>
        <c:axId val="11655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0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03072970204285E-2"/>
          <c:y val="0.1144691206692245"/>
          <c:w val="0.88373945258725894"/>
          <c:h val="0.777813879686702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X(Rank)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strRef>
              <c:f>'Linear Regression'!$B:$B</c:f>
              <c:strCache>
                <c:ptCount val="65"/>
                <c:pt idx="0">
                  <c:v>X(Rank)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strCache>
            </c:strRef>
          </c:xVal>
          <c:yVal>
            <c:numRef>
              <c:f>'Linear Regression'!$A:$A</c:f>
              <c:numCache>
                <c:formatCode>General</c:formatCode>
                <c:ptCount val="1048576"/>
                <c:pt idx="0">
                  <c:v>0</c:v>
                </c:pt>
                <c:pt idx="1">
                  <c:v>48</c:v>
                </c:pt>
                <c:pt idx="2">
                  <c:v>31</c:v>
                </c:pt>
                <c:pt idx="3">
                  <c:v>73</c:v>
                </c:pt>
                <c:pt idx="4">
                  <c:v>31</c:v>
                </c:pt>
                <c:pt idx="5">
                  <c:v>55</c:v>
                </c:pt>
                <c:pt idx="6">
                  <c:v>36</c:v>
                </c:pt>
                <c:pt idx="7">
                  <c:v>30</c:v>
                </c:pt>
                <c:pt idx="8">
                  <c:v>31</c:v>
                </c:pt>
                <c:pt idx="9">
                  <c:v>34</c:v>
                </c:pt>
                <c:pt idx="10">
                  <c:v>42</c:v>
                </c:pt>
                <c:pt idx="11">
                  <c:v>43</c:v>
                </c:pt>
                <c:pt idx="12">
                  <c:v>19</c:v>
                </c:pt>
                <c:pt idx="13">
                  <c:v>57</c:v>
                </c:pt>
                <c:pt idx="14">
                  <c:v>48</c:v>
                </c:pt>
                <c:pt idx="15">
                  <c:v>55</c:v>
                </c:pt>
                <c:pt idx="16">
                  <c:v>87</c:v>
                </c:pt>
                <c:pt idx="17">
                  <c:v>55</c:v>
                </c:pt>
                <c:pt idx="18">
                  <c:v>37</c:v>
                </c:pt>
                <c:pt idx="19">
                  <c:v>49</c:v>
                </c:pt>
                <c:pt idx="20">
                  <c:v>55</c:v>
                </c:pt>
                <c:pt idx="21">
                  <c:v>73</c:v>
                </c:pt>
                <c:pt idx="22">
                  <c:v>50</c:v>
                </c:pt>
                <c:pt idx="23">
                  <c:v>38</c:v>
                </c:pt>
                <c:pt idx="24">
                  <c:v>23</c:v>
                </c:pt>
                <c:pt idx="25">
                  <c:v>60</c:v>
                </c:pt>
                <c:pt idx="26">
                  <c:v>48</c:v>
                </c:pt>
                <c:pt idx="27">
                  <c:v>72</c:v>
                </c:pt>
                <c:pt idx="28">
                  <c:v>76</c:v>
                </c:pt>
                <c:pt idx="29">
                  <c:v>67</c:v>
                </c:pt>
                <c:pt idx="30">
                  <c:v>66</c:v>
                </c:pt>
                <c:pt idx="31">
                  <c:v>47</c:v>
                </c:pt>
                <c:pt idx="32">
                  <c:v>61</c:v>
                </c:pt>
                <c:pt idx="33">
                  <c:v>44</c:v>
                </c:pt>
                <c:pt idx="34">
                  <c:v>78</c:v>
                </c:pt>
                <c:pt idx="35">
                  <c:v>45</c:v>
                </c:pt>
                <c:pt idx="36">
                  <c:v>62</c:v>
                </c:pt>
                <c:pt idx="37">
                  <c:v>71</c:v>
                </c:pt>
                <c:pt idx="38">
                  <c:v>44</c:v>
                </c:pt>
                <c:pt idx="39">
                  <c:v>86</c:v>
                </c:pt>
                <c:pt idx="40">
                  <c:v>59</c:v>
                </c:pt>
                <c:pt idx="41">
                  <c:v>59</c:v>
                </c:pt>
                <c:pt idx="42">
                  <c:v>41</c:v>
                </c:pt>
                <c:pt idx="43">
                  <c:v>39</c:v>
                </c:pt>
                <c:pt idx="44">
                  <c:v>61</c:v>
                </c:pt>
                <c:pt idx="45">
                  <c:v>58</c:v>
                </c:pt>
                <c:pt idx="46">
                  <c:v>66</c:v>
                </c:pt>
                <c:pt idx="47">
                  <c:v>90</c:v>
                </c:pt>
                <c:pt idx="48">
                  <c:v>20</c:v>
                </c:pt>
                <c:pt idx="49">
                  <c:v>66</c:v>
                </c:pt>
                <c:pt idx="50">
                  <c:v>43</c:v>
                </c:pt>
                <c:pt idx="51">
                  <c:v>55</c:v>
                </c:pt>
                <c:pt idx="52">
                  <c:v>47</c:v>
                </c:pt>
                <c:pt idx="53">
                  <c:v>61</c:v>
                </c:pt>
                <c:pt idx="54">
                  <c:v>47</c:v>
                </c:pt>
                <c:pt idx="55">
                  <c:v>73</c:v>
                </c:pt>
                <c:pt idx="56">
                  <c:v>50</c:v>
                </c:pt>
                <c:pt idx="57">
                  <c:v>66</c:v>
                </c:pt>
                <c:pt idx="58">
                  <c:v>59</c:v>
                </c:pt>
                <c:pt idx="59">
                  <c:v>80</c:v>
                </c:pt>
                <c:pt idx="60">
                  <c:v>42</c:v>
                </c:pt>
                <c:pt idx="61">
                  <c:v>50</c:v>
                </c:pt>
                <c:pt idx="62">
                  <c:v>87</c:v>
                </c:pt>
                <c:pt idx="63">
                  <c:v>29</c:v>
                </c:pt>
                <c:pt idx="64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E-4B29-997D-6AEF769D9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49152"/>
        <c:axId val="1263460672"/>
      </c:scatterChart>
      <c:valAx>
        <c:axId val="12634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60672"/>
        <c:crosses val="autoZero"/>
        <c:crossBetween val="midCat"/>
      </c:valAx>
      <c:valAx>
        <c:axId val="12634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411480</xdr:colOff>
      <xdr:row>24</xdr:row>
      <xdr:rowOff>132081</xdr:rowOff>
    </xdr:from>
    <xdr:to>
      <xdr:col>22</xdr:col>
      <xdr:colOff>457199</xdr:colOff>
      <xdr:row>24</xdr:row>
      <xdr:rowOff>177800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E076970-6B3C-4CC6-9320-7B341817E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27940</xdr:colOff>
      <xdr:row>5</xdr:row>
      <xdr:rowOff>72813</xdr:rowOff>
    </xdr:from>
    <xdr:to>
      <xdr:col>17</xdr:col>
      <xdr:colOff>76200</xdr:colOff>
      <xdr:row>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1F837-A7E3-5D32-134E-E75AE3939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195580</xdr:colOff>
      <xdr:row>4</xdr:row>
      <xdr:rowOff>83820</xdr:rowOff>
    </xdr:from>
    <xdr:to>
      <xdr:col>16</xdr:col>
      <xdr:colOff>9313</xdr:colOff>
      <xdr:row>30</xdr:row>
      <xdr:rowOff>131233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132D17-6E51-64A2-25FC-42BBF547A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C2"/>
  <sheetViews>
    <sheetView showGridLines="0" workbookViewId="0">
      <selection activeCell="D12" sqref="D12"/>
    </sheetView>
  </sheetViews>
  <sheetFormatPr defaultRowHeight="14.4" x14ac:dyDescent="0.3"/>
  <cols>
    <col min="1" max="1" width="12.109375" bestFit="1" customWidth="1"/>
    <col min="2" max="2" width="7.109375" bestFit="1" customWidth="1"/>
    <col min="3" max="3" width="8.6640625" bestFit="1" customWidth="1"/>
  </cols>
  <sheetData>
    <row r="1" spans="1:3" ht="19.8" thickTop="1" thickBot="1" x14ac:dyDescent="0.5">
      <c r="A1" s="1" t="s">
        <v>0</v>
      </c>
      <c r="B1" s="1" t="s">
        <v>1</v>
      </c>
      <c r="C1" s="1" t="s">
        <v>2</v>
      </c>
    </row>
    <row r="2" spans="1:3" ht="15" thickTop="1" x14ac:dyDescent="0.3">
      <c r="A2" s="3">
        <v>0.61154135501363893</v>
      </c>
      <c r="B2" s="3">
        <v>53</v>
      </c>
      <c r="C2" s="3">
        <v>15.23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BDF2-870F-4A79-86B3-EF38DC9BFD17}">
  <sheetPr>
    <tabColor theme="8" tint="0.79998168889431442"/>
  </sheetPr>
  <dimension ref="A1:B261"/>
  <sheetViews>
    <sheetView showGridLines="0" workbookViewId="0">
      <selection activeCell="B2" sqref="B2"/>
    </sheetView>
  </sheetViews>
  <sheetFormatPr defaultRowHeight="14.4" x14ac:dyDescent="0.3"/>
  <sheetData>
    <row r="1" spans="1:2" ht="19.8" thickTop="1" thickBot="1" x14ac:dyDescent="0.5">
      <c r="A1" s="1" t="s">
        <v>3</v>
      </c>
      <c r="B1" s="1" t="s">
        <v>4</v>
      </c>
    </row>
    <row r="2" spans="1:2" ht="15" thickTop="1" x14ac:dyDescent="0.3">
      <c r="A2" s="2">
        <f ca="1">INT(_xlfn.NORM.INV(RAND(),Parameters!$B$2,Parameters!$C$2))</f>
        <v>59</v>
      </c>
      <c r="B2" s="2">
        <f ca="1">RANDBETWEEN(1,4)</f>
        <v>4</v>
      </c>
    </row>
    <row r="3" spans="1:2" x14ac:dyDescent="0.3">
      <c r="A3" s="2">
        <f ca="1">INT(_xlfn.NORM.INV(RAND(),Parameters!$B$2,Parameters!$C$2))</f>
        <v>59</v>
      </c>
      <c r="B3" s="2">
        <f t="shared" ref="B3:B66" ca="1" si="0">RANDBETWEEN(1,4)</f>
        <v>3</v>
      </c>
    </row>
    <row r="4" spans="1:2" x14ac:dyDescent="0.3">
      <c r="A4" s="2">
        <f ca="1">INT(_xlfn.NORM.INV(RAND(),Parameters!$B$2,Parameters!$C$2))</f>
        <v>53</v>
      </c>
      <c r="B4" s="2">
        <f t="shared" ca="1" si="0"/>
        <v>1</v>
      </c>
    </row>
    <row r="5" spans="1:2" x14ac:dyDescent="0.3">
      <c r="A5" s="2">
        <f ca="1">INT(_xlfn.NORM.INV(RAND(),Parameters!$B$2,Parameters!$C$2))</f>
        <v>61</v>
      </c>
      <c r="B5" s="2">
        <f t="shared" ca="1" si="0"/>
        <v>1</v>
      </c>
    </row>
    <row r="6" spans="1:2" x14ac:dyDescent="0.3">
      <c r="A6" s="2">
        <f ca="1">INT(_xlfn.NORM.INV(RAND(),Parameters!$B$2,Parameters!$C$2))</f>
        <v>57</v>
      </c>
      <c r="B6" s="2">
        <f t="shared" ca="1" si="0"/>
        <v>1</v>
      </c>
    </row>
    <row r="7" spans="1:2" x14ac:dyDescent="0.3">
      <c r="A7" s="2">
        <f ca="1">INT(_xlfn.NORM.INV(RAND(),Parameters!$B$2,Parameters!$C$2))</f>
        <v>45</v>
      </c>
      <c r="B7" s="2">
        <f t="shared" ca="1" si="0"/>
        <v>1</v>
      </c>
    </row>
    <row r="8" spans="1:2" x14ac:dyDescent="0.3">
      <c r="A8" s="2">
        <f ca="1">INT(_xlfn.NORM.INV(RAND(),Parameters!$B$2,Parameters!$C$2))</f>
        <v>48</v>
      </c>
      <c r="B8" s="2">
        <f t="shared" ca="1" si="0"/>
        <v>3</v>
      </c>
    </row>
    <row r="9" spans="1:2" x14ac:dyDescent="0.3">
      <c r="A9" s="2">
        <f ca="1">INT(_xlfn.NORM.INV(RAND(),Parameters!$B$2,Parameters!$C$2))</f>
        <v>28</v>
      </c>
      <c r="B9" s="2">
        <f t="shared" ca="1" si="0"/>
        <v>1</v>
      </c>
    </row>
    <row r="10" spans="1:2" x14ac:dyDescent="0.3">
      <c r="A10" s="2">
        <f ca="1">INT(_xlfn.NORM.INV(RAND(),Parameters!$B$2,Parameters!$C$2))</f>
        <v>63</v>
      </c>
      <c r="B10" s="2">
        <f t="shared" ca="1" si="0"/>
        <v>2</v>
      </c>
    </row>
    <row r="11" spans="1:2" x14ac:dyDescent="0.3">
      <c r="A11" s="2">
        <f ca="1">INT(_xlfn.NORM.INV(RAND(),Parameters!$B$2,Parameters!$C$2))</f>
        <v>48</v>
      </c>
      <c r="B11" s="2">
        <f t="shared" ca="1" si="0"/>
        <v>1</v>
      </c>
    </row>
    <row r="12" spans="1:2" x14ac:dyDescent="0.3">
      <c r="A12" s="2">
        <f ca="1">INT(_xlfn.NORM.INV(RAND(),Parameters!$B$2,Parameters!$C$2))</f>
        <v>19</v>
      </c>
      <c r="B12" s="2">
        <f t="shared" ca="1" si="0"/>
        <v>3</v>
      </c>
    </row>
    <row r="13" spans="1:2" x14ac:dyDescent="0.3">
      <c r="A13" s="2">
        <f ca="1">INT(_xlfn.NORM.INV(RAND(),Parameters!$B$2,Parameters!$C$2))</f>
        <v>64</v>
      </c>
      <c r="B13" s="2">
        <f t="shared" ca="1" si="0"/>
        <v>3</v>
      </c>
    </row>
    <row r="14" spans="1:2" x14ac:dyDescent="0.3">
      <c r="A14" s="2">
        <f ca="1">INT(_xlfn.NORM.INV(RAND(),Parameters!$B$2,Parameters!$C$2))</f>
        <v>5</v>
      </c>
      <c r="B14" s="2">
        <f t="shared" ca="1" si="0"/>
        <v>1</v>
      </c>
    </row>
    <row r="15" spans="1:2" x14ac:dyDescent="0.3">
      <c r="A15" s="2">
        <f ca="1">INT(_xlfn.NORM.INV(RAND(),Parameters!$B$2,Parameters!$C$2))</f>
        <v>43</v>
      </c>
      <c r="B15" s="2">
        <f t="shared" ca="1" si="0"/>
        <v>1</v>
      </c>
    </row>
    <row r="16" spans="1:2" x14ac:dyDescent="0.3">
      <c r="A16" s="2">
        <f ca="1">INT(_xlfn.NORM.INV(RAND(),Parameters!$B$2,Parameters!$C$2))</f>
        <v>41</v>
      </c>
      <c r="B16" s="2">
        <f t="shared" ca="1" si="0"/>
        <v>4</v>
      </c>
    </row>
    <row r="17" spans="1:2" x14ac:dyDescent="0.3">
      <c r="A17" s="2">
        <f ca="1">INT(_xlfn.NORM.INV(RAND(),Parameters!$B$2,Parameters!$C$2))</f>
        <v>47</v>
      </c>
      <c r="B17" s="2">
        <f t="shared" ca="1" si="0"/>
        <v>2</v>
      </c>
    </row>
    <row r="18" spans="1:2" x14ac:dyDescent="0.3">
      <c r="A18" s="2">
        <f ca="1">INT(_xlfn.NORM.INV(RAND(),Parameters!$B$2,Parameters!$C$2))</f>
        <v>66</v>
      </c>
      <c r="B18" s="2">
        <f t="shared" ca="1" si="0"/>
        <v>4</v>
      </c>
    </row>
    <row r="19" spans="1:2" x14ac:dyDescent="0.3">
      <c r="A19" s="2">
        <f ca="1">INT(_xlfn.NORM.INV(RAND(),Parameters!$B$2,Parameters!$C$2))</f>
        <v>44</v>
      </c>
      <c r="B19" s="2">
        <f t="shared" ca="1" si="0"/>
        <v>1</v>
      </c>
    </row>
    <row r="20" spans="1:2" x14ac:dyDescent="0.3">
      <c r="A20" s="2">
        <f ca="1">INT(_xlfn.NORM.INV(RAND(),Parameters!$B$2,Parameters!$C$2))</f>
        <v>32</v>
      </c>
      <c r="B20" s="2">
        <f t="shared" ca="1" si="0"/>
        <v>4</v>
      </c>
    </row>
    <row r="21" spans="1:2" x14ac:dyDescent="0.3">
      <c r="A21" s="2">
        <f ca="1">INT(_xlfn.NORM.INV(RAND(),Parameters!$B$2,Parameters!$C$2))</f>
        <v>22</v>
      </c>
      <c r="B21" s="2">
        <f t="shared" ca="1" si="0"/>
        <v>3</v>
      </c>
    </row>
    <row r="22" spans="1:2" x14ac:dyDescent="0.3">
      <c r="A22" s="2">
        <f ca="1">INT(_xlfn.NORM.INV(RAND(),Parameters!$B$2,Parameters!$C$2))</f>
        <v>57</v>
      </c>
      <c r="B22" s="2">
        <f t="shared" ca="1" si="0"/>
        <v>2</v>
      </c>
    </row>
    <row r="23" spans="1:2" x14ac:dyDescent="0.3">
      <c r="A23" s="2">
        <f ca="1">INT(_xlfn.NORM.INV(RAND(),Parameters!$B$2,Parameters!$C$2))</f>
        <v>51</v>
      </c>
      <c r="B23" s="2">
        <f t="shared" ca="1" si="0"/>
        <v>2</v>
      </c>
    </row>
    <row r="24" spans="1:2" x14ac:dyDescent="0.3">
      <c r="A24" s="2">
        <f ca="1">INT(_xlfn.NORM.INV(RAND(),Parameters!$B$2,Parameters!$C$2))</f>
        <v>45</v>
      </c>
      <c r="B24" s="2">
        <f t="shared" ca="1" si="0"/>
        <v>3</v>
      </c>
    </row>
    <row r="25" spans="1:2" x14ac:dyDescent="0.3">
      <c r="A25" s="2">
        <f ca="1">INT(_xlfn.NORM.INV(RAND(),Parameters!$B$2,Parameters!$C$2))</f>
        <v>49</v>
      </c>
      <c r="B25" s="2">
        <f t="shared" ca="1" si="0"/>
        <v>1</v>
      </c>
    </row>
    <row r="26" spans="1:2" x14ac:dyDescent="0.3">
      <c r="A26" s="2">
        <f ca="1">INT(_xlfn.NORM.INV(RAND(),Parameters!$B$2,Parameters!$C$2))</f>
        <v>51</v>
      </c>
      <c r="B26" s="2">
        <f t="shared" ca="1" si="0"/>
        <v>4</v>
      </c>
    </row>
    <row r="27" spans="1:2" x14ac:dyDescent="0.3">
      <c r="A27" s="2">
        <f ca="1">INT(_xlfn.NORM.INV(RAND(),Parameters!$B$2,Parameters!$C$2))</f>
        <v>75</v>
      </c>
      <c r="B27" s="2">
        <f t="shared" ca="1" si="0"/>
        <v>3</v>
      </c>
    </row>
    <row r="28" spans="1:2" x14ac:dyDescent="0.3">
      <c r="A28" s="2">
        <f ca="1">INT(_xlfn.NORM.INV(RAND(),Parameters!$B$2,Parameters!$C$2))</f>
        <v>61</v>
      </c>
      <c r="B28" s="2">
        <f t="shared" ca="1" si="0"/>
        <v>1</v>
      </c>
    </row>
    <row r="29" spans="1:2" x14ac:dyDescent="0.3">
      <c r="A29" s="2">
        <f ca="1">INT(_xlfn.NORM.INV(RAND(),Parameters!$B$2,Parameters!$C$2))</f>
        <v>53</v>
      </c>
      <c r="B29" s="2">
        <f t="shared" ca="1" si="0"/>
        <v>1</v>
      </c>
    </row>
    <row r="30" spans="1:2" x14ac:dyDescent="0.3">
      <c r="A30" s="2">
        <f ca="1">INT(_xlfn.NORM.INV(RAND(),Parameters!$B$2,Parameters!$C$2))</f>
        <v>41</v>
      </c>
      <c r="B30" s="2">
        <f t="shared" ca="1" si="0"/>
        <v>1</v>
      </c>
    </row>
    <row r="31" spans="1:2" x14ac:dyDescent="0.3">
      <c r="A31" s="2">
        <f ca="1">INT(_xlfn.NORM.INV(RAND(),Parameters!$B$2,Parameters!$C$2))</f>
        <v>56</v>
      </c>
      <c r="B31" s="2">
        <f t="shared" ca="1" si="0"/>
        <v>3</v>
      </c>
    </row>
    <row r="32" spans="1:2" x14ac:dyDescent="0.3">
      <c r="A32" s="2">
        <f ca="1">INT(_xlfn.NORM.INV(RAND(),Parameters!$B$2,Parameters!$C$2))</f>
        <v>46</v>
      </c>
      <c r="B32" s="2">
        <f t="shared" ca="1" si="0"/>
        <v>1</v>
      </c>
    </row>
    <row r="33" spans="1:2" x14ac:dyDescent="0.3">
      <c r="A33" s="2">
        <f ca="1">INT(_xlfn.NORM.INV(RAND(),Parameters!$B$2,Parameters!$C$2))</f>
        <v>43</v>
      </c>
      <c r="B33" s="2">
        <f t="shared" ca="1" si="0"/>
        <v>3</v>
      </c>
    </row>
    <row r="34" spans="1:2" x14ac:dyDescent="0.3">
      <c r="A34" s="2">
        <f ca="1">INT(_xlfn.NORM.INV(RAND(),Parameters!$B$2,Parameters!$C$2))</f>
        <v>49</v>
      </c>
      <c r="B34" s="2">
        <f t="shared" ca="1" si="0"/>
        <v>3</v>
      </c>
    </row>
    <row r="35" spans="1:2" x14ac:dyDescent="0.3">
      <c r="A35" s="2">
        <f ca="1">INT(_xlfn.NORM.INV(RAND(),Parameters!$B$2,Parameters!$C$2))</f>
        <v>47</v>
      </c>
      <c r="B35" s="2">
        <f t="shared" ca="1" si="0"/>
        <v>1</v>
      </c>
    </row>
    <row r="36" spans="1:2" x14ac:dyDescent="0.3">
      <c r="A36" s="2">
        <f ca="1">INT(_xlfn.NORM.INV(RAND(),Parameters!$B$2,Parameters!$C$2))</f>
        <v>37</v>
      </c>
      <c r="B36" s="2">
        <f t="shared" ca="1" si="0"/>
        <v>3</v>
      </c>
    </row>
    <row r="37" spans="1:2" x14ac:dyDescent="0.3">
      <c r="A37" s="2">
        <f ca="1">INT(_xlfn.NORM.INV(RAND(),Parameters!$B$2,Parameters!$C$2))</f>
        <v>49</v>
      </c>
      <c r="B37" s="2">
        <f t="shared" ca="1" si="0"/>
        <v>2</v>
      </c>
    </row>
    <row r="38" spans="1:2" x14ac:dyDescent="0.3">
      <c r="A38" s="2">
        <f ca="1">INT(_xlfn.NORM.INV(RAND(),Parameters!$B$2,Parameters!$C$2))</f>
        <v>38</v>
      </c>
      <c r="B38" s="2">
        <f t="shared" ca="1" si="0"/>
        <v>3</v>
      </c>
    </row>
    <row r="39" spans="1:2" x14ac:dyDescent="0.3">
      <c r="A39" s="2">
        <f ca="1">INT(_xlfn.NORM.INV(RAND(),Parameters!$B$2,Parameters!$C$2))</f>
        <v>58</v>
      </c>
      <c r="B39" s="2">
        <f t="shared" ca="1" si="0"/>
        <v>2</v>
      </c>
    </row>
    <row r="40" spans="1:2" x14ac:dyDescent="0.3">
      <c r="A40" s="2">
        <f ca="1">INT(_xlfn.NORM.INV(RAND(),Parameters!$B$2,Parameters!$C$2))</f>
        <v>39</v>
      </c>
      <c r="B40" s="2">
        <f t="shared" ca="1" si="0"/>
        <v>1</v>
      </c>
    </row>
    <row r="41" spans="1:2" x14ac:dyDescent="0.3">
      <c r="A41" s="2">
        <f ca="1">INT(_xlfn.NORM.INV(RAND(),Parameters!$B$2,Parameters!$C$2))</f>
        <v>75</v>
      </c>
      <c r="B41" s="2">
        <f t="shared" ca="1" si="0"/>
        <v>4</v>
      </c>
    </row>
    <row r="42" spans="1:2" x14ac:dyDescent="0.3">
      <c r="A42" s="2">
        <f ca="1">INT(_xlfn.NORM.INV(RAND(),Parameters!$B$2,Parameters!$C$2))</f>
        <v>41</v>
      </c>
      <c r="B42" s="2">
        <f t="shared" ca="1" si="0"/>
        <v>2</v>
      </c>
    </row>
    <row r="43" spans="1:2" x14ac:dyDescent="0.3">
      <c r="A43" s="2">
        <f ca="1">INT(_xlfn.NORM.INV(RAND(),Parameters!$B$2,Parameters!$C$2))</f>
        <v>89</v>
      </c>
      <c r="B43" s="2">
        <f t="shared" ca="1" si="0"/>
        <v>4</v>
      </c>
    </row>
    <row r="44" spans="1:2" x14ac:dyDescent="0.3">
      <c r="A44" s="2">
        <f ca="1">INT(_xlfn.NORM.INV(RAND(),Parameters!$B$2,Parameters!$C$2))</f>
        <v>78</v>
      </c>
      <c r="B44" s="2">
        <f t="shared" ca="1" si="0"/>
        <v>2</v>
      </c>
    </row>
    <row r="45" spans="1:2" x14ac:dyDescent="0.3">
      <c r="A45" s="2">
        <f ca="1">INT(_xlfn.NORM.INV(RAND(),Parameters!$B$2,Parameters!$C$2))</f>
        <v>66</v>
      </c>
      <c r="B45" s="2">
        <f t="shared" ca="1" si="0"/>
        <v>4</v>
      </c>
    </row>
    <row r="46" spans="1:2" x14ac:dyDescent="0.3">
      <c r="A46" s="2">
        <f ca="1">INT(_xlfn.NORM.INV(RAND(),Parameters!$B$2,Parameters!$C$2))</f>
        <v>50</v>
      </c>
      <c r="B46" s="2">
        <f t="shared" ca="1" si="0"/>
        <v>1</v>
      </c>
    </row>
    <row r="47" spans="1:2" x14ac:dyDescent="0.3">
      <c r="A47" s="2">
        <f ca="1">INT(_xlfn.NORM.INV(RAND(),Parameters!$B$2,Parameters!$C$2))</f>
        <v>30</v>
      </c>
      <c r="B47" s="2">
        <f t="shared" ca="1" si="0"/>
        <v>4</v>
      </c>
    </row>
    <row r="48" spans="1:2" x14ac:dyDescent="0.3">
      <c r="A48" s="2">
        <f ca="1">INT(_xlfn.NORM.INV(RAND(),Parameters!$B$2,Parameters!$C$2))</f>
        <v>11</v>
      </c>
      <c r="B48" s="2">
        <f t="shared" ca="1" si="0"/>
        <v>1</v>
      </c>
    </row>
    <row r="49" spans="1:2" x14ac:dyDescent="0.3">
      <c r="A49" s="2">
        <f ca="1">INT(_xlfn.NORM.INV(RAND(),Parameters!$B$2,Parameters!$C$2))</f>
        <v>53</v>
      </c>
      <c r="B49" s="2">
        <f t="shared" ca="1" si="0"/>
        <v>1</v>
      </c>
    </row>
    <row r="50" spans="1:2" x14ac:dyDescent="0.3">
      <c r="A50" s="2">
        <f ca="1">INT(_xlfn.NORM.INV(RAND(),Parameters!$B$2,Parameters!$C$2))</f>
        <v>31</v>
      </c>
      <c r="B50" s="2">
        <f t="shared" ca="1" si="0"/>
        <v>3</v>
      </c>
    </row>
    <row r="51" spans="1:2" x14ac:dyDescent="0.3">
      <c r="A51" s="2">
        <f ca="1">INT(_xlfn.NORM.INV(RAND(),Parameters!$B$2,Parameters!$C$2))</f>
        <v>49</v>
      </c>
      <c r="B51" s="2">
        <f t="shared" ca="1" si="0"/>
        <v>3</v>
      </c>
    </row>
    <row r="52" spans="1:2" x14ac:dyDescent="0.3">
      <c r="A52" s="2">
        <f ca="1">INT(_xlfn.NORM.INV(RAND(),Parameters!$B$2,Parameters!$C$2))</f>
        <v>20</v>
      </c>
      <c r="B52" s="2">
        <f t="shared" ca="1" si="0"/>
        <v>4</v>
      </c>
    </row>
    <row r="53" spans="1:2" x14ac:dyDescent="0.3">
      <c r="A53" s="2">
        <f ca="1">INT(_xlfn.NORM.INV(RAND(),Parameters!$B$2,Parameters!$C$2))</f>
        <v>31</v>
      </c>
      <c r="B53" s="2">
        <f t="shared" ca="1" si="0"/>
        <v>4</v>
      </c>
    </row>
    <row r="54" spans="1:2" x14ac:dyDescent="0.3">
      <c r="A54" s="2">
        <f ca="1">INT(_xlfn.NORM.INV(RAND(),Parameters!$B$2,Parameters!$C$2))</f>
        <v>69</v>
      </c>
      <c r="B54" s="2">
        <f t="shared" ca="1" si="0"/>
        <v>3</v>
      </c>
    </row>
    <row r="55" spans="1:2" x14ac:dyDescent="0.3">
      <c r="A55" s="2">
        <f ca="1">INT(_xlfn.NORM.INV(RAND(),Parameters!$B$2,Parameters!$C$2))</f>
        <v>54</v>
      </c>
      <c r="B55" s="2">
        <f t="shared" ca="1" si="0"/>
        <v>1</v>
      </c>
    </row>
    <row r="56" spans="1:2" x14ac:dyDescent="0.3">
      <c r="A56" s="2">
        <f ca="1">INT(_xlfn.NORM.INV(RAND(),Parameters!$B$2,Parameters!$C$2))</f>
        <v>33</v>
      </c>
      <c r="B56" s="2">
        <f t="shared" ca="1" si="0"/>
        <v>3</v>
      </c>
    </row>
    <row r="57" spans="1:2" x14ac:dyDescent="0.3">
      <c r="A57" s="2">
        <f ca="1">INT(_xlfn.NORM.INV(RAND(),Parameters!$B$2,Parameters!$C$2))</f>
        <v>39</v>
      </c>
      <c r="B57" s="2">
        <f t="shared" ca="1" si="0"/>
        <v>1</v>
      </c>
    </row>
    <row r="58" spans="1:2" x14ac:dyDescent="0.3">
      <c r="A58" s="2">
        <f ca="1">INT(_xlfn.NORM.INV(RAND(),Parameters!$B$2,Parameters!$C$2))</f>
        <v>32</v>
      </c>
      <c r="B58" s="2">
        <f t="shared" ca="1" si="0"/>
        <v>4</v>
      </c>
    </row>
    <row r="59" spans="1:2" x14ac:dyDescent="0.3">
      <c r="A59" s="2">
        <f ca="1">INT(_xlfn.NORM.INV(RAND(),Parameters!$B$2,Parameters!$C$2))</f>
        <v>43</v>
      </c>
      <c r="B59" s="2">
        <f t="shared" ca="1" si="0"/>
        <v>1</v>
      </c>
    </row>
    <row r="60" spans="1:2" x14ac:dyDescent="0.3">
      <c r="A60" s="2">
        <f ca="1">INT(_xlfn.NORM.INV(RAND(),Parameters!$B$2,Parameters!$C$2))</f>
        <v>77</v>
      </c>
      <c r="B60" s="2">
        <f t="shared" ca="1" si="0"/>
        <v>1</v>
      </c>
    </row>
    <row r="61" spans="1:2" x14ac:dyDescent="0.3">
      <c r="A61" s="2">
        <f ca="1">INT(_xlfn.NORM.INV(RAND(),Parameters!$B$2,Parameters!$C$2))</f>
        <v>80</v>
      </c>
      <c r="B61" s="2">
        <f t="shared" ca="1" si="0"/>
        <v>1</v>
      </c>
    </row>
    <row r="62" spans="1:2" x14ac:dyDescent="0.3">
      <c r="A62" s="2">
        <f ca="1">INT(_xlfn.NORM.INV(RAND(),Parameters!$B$2,Parameters!$C$2))</f>
        <v>36</v>
      </c>
      <c r="B62" s="2">
        <f t="shared" ca="1" si="0"/>
        <v>1</v>
      </c>
    </row>
    <row r="63" spans="1:2" x14ac:dyDescent="0.3">
      <c r="A63" s="2">
        <f ca="1">INT(_xlfn.NORM.INV(RAND(),Parameters!$B$2,Parameters!$C$2))</f>
        <v>27</v>
      </c>
      <c r="B63" s="2">
        <f t="shared" ca="1" si="0"/>
        <v>1</v>
      </c>
    </row>
    <row r="64" spans="1:2" x14ac:dyDescent="0.3">
      <c r="A64" s="2">
        <f ca="1">INT(_xlfn.NORM.INV(RAND(),Parameters!$B$2,Parameters!$C$2))</f>
        <v>81</v>
      </c>
      <c r="B64" s="2">
        <f t="shared" ca="1" si="0"/>
        <v>4</v>
      </c>
    </row>
    <row r="65" spans="1:2" x14ac:dyDescent="0.3">
      <c r="A65" s="2">
        <f ca="1">INT(_xlfn.NORM.INV(RAND(),Parameters!$B$2,Parameters!$C$2))</f>
        <v>52</v>
      </c>
      <c r="B65" s="2">
        <f t="shared" ca="1" si="0"/>
        <v>4</v>
      </c>
    </row>
    <row r="66" spans="1:2" x14ac:dyDescent="0.3">
      <c r="A66" s="2">
        <f ca="1">INT(_xlfn.NORM.INV(RAND(),Parameters!$B$2,Parameters!$C$2))</f>
        <v>70</v>
      </c>
      <c r="B66" s="2">
        <f t="shared" ca="1" si="0"/>
        <v>3</v>
      </c>
    </row>
    <row r="67" spans="1:2" x14ac:dyDescent="0.3">
      <c r="A67" s="2">
        <f ca="1">INT(_xlfn.NORM.INV(RAND(),Parameters!$B$2,Parameters!$C$2))</f>
        <v>53</v>
      </c>
      <c r="B67" s="2">
        <f t="shared" ref="B67:B130" ca="1" si="1">RANDBETWEEN(1,4)</f>
        <v>3</v>
      </c>
    </row>
    <row r="68" spans="1:2" x14ac:dyDescent="0.3">
      <c r="A68" s="2">
        <f ca="1">INT(_xlfn.NORM.INV(RAND(),Parameters!$B$2,Parameters!$C$2))</f>
        <v>86</v>
      </c>
      <c r="B68" s="2">
        <f t="shared" ca="1" si="1"/>
        <v>4</v>
      </c>
    </row>
    <row r="69" spans="1:2" x14ac:dyDescent="0.3">
      <c r="A69" s="2">
        <f ca="1">INT(_xlfn.NORM.INV(RAND(),Parameters!$B$2,Parameters!$C$2))</f>
        <v>70</v>
      </c>
      <c r="B69" s="2">
        <f t="shared" ca="1" si="1"/>
        <v>2</v>
      </c>
    </row>
    <row r="70" spans="1:2" x14ac:dyDescent="0.3">
      <c r="A70" s="2">
        <f ca="1">INT(_xlfn.NORM.INV(RAND(),Parameters!$B$2,Parameters!$C$2))</f>
        <v>68</v>
      </c>
      <c r="B70" s="2">
        <f t="shared" ca="1" si="1"/>
        <v>1</v>
      </c>
    </row>
    <row r="71" spans="1:2" x14ac:dyDescent="0.3">
      <c r="A71" s="2">
        <f ca="1">INT(_xlfn.NORM.INV(RAND(),Parameters!$B$2,Parameters!$C$2))</f>
        <v>74</v>
      </c>
      <c r="B71" s="2">
        <f t="shared" ca="1" si="1"/>
        <v>1</v>
      </c>
    </row>
    <row r="72" spans="1:2" x14ac:dyDescent="0.3">
      <c r="A72" s="2">
        <f ca="1">INT(_xlfn.NORM.INV(RAND(),Parameters!$B$2,Parameters!$C$2))</f>
        <v>31</v>
      </c>
      <c r="B72" s="2">
        <f t="shared" ca="1" si="1"/>
        <v>2</v>
      </c>
    </row>
    <row r="73" spans="1:2" x14ac:dyDescent="0.3">
      <c r="A73" s="2">
        <f ca="1">INT(_xlfn.NORM.INV(RAND(),Parameters!$B$2,Parameters!$C$2))</f>
        <v>60</v>
      </c>
      <c r="B73" s="2">
        <f t="shared" ca="1" si="1"/>
        <v>1</v>
      </c>
    </row>
    <row r="74" spans="1:2" x14ac:dyDescent="0.3">
      <c r="A74" s="2">
        <f ca="1">INT(_xlfn.NORM.INV(RAND(),Parameters!$B$2,Parameters!$C$2))</f>
        <v>61</v>
      </c>
      <c r="B74" s="2">
        <f t="shared" ca="1" si="1"/>
        <v>2</v>
      </c>
    </row>
    <row r="75" spans="1:2" x14ac:dyDescent="0.3">
      <c r="A75" s="2">
        <f ca="1">INT(_xlfn.NORM.INV(RAND(),Parameters!$B$2,Parameters!$C$2))</f>
        <v>77</v>
      </c>
      <c r="B75" s="2">
        <f t="shared" ca="1" si="1"/>
        <v>1</v>
      </c>
    </row>
    <row r="76" spans="1:2" x14ac:dyDescent="0.3">
      <c r="A76" s="2">
        <f ca="1">INT(_xlfn.NORM.INV(RAND(),Parameters!$B$2,Parameters!$C$2))</f>
        <v>47</v>
      </c>
      <c r="B76" s="2">
        <f t="shared" ca="1" si="1"/>
        <v>2</v>
      </c>
    </row>
    <row r="77" spans="1:2" x14ac:dyDescent="0.3">
      <c r="A77" s="2">
        <f ca="1">INT(_xlfn.NORM.INV(RAND(),Parameters!$B$2,Parameters!$C$2))</f>
        <v>56</v>
      </c>
      <c r="B77" s="2">
        <f t="shared" ca="1" si="1"/>
        <v>1</v>
      </c>
    </row>
    <row r="78" spans="1:2" x14ac:dyDescent="0.3">
      <c r="A78" s="2">
        <f ca="1">INT(_xlfn.NORM.INV(RAND(),Parameters!$B$2,Parameters!$C$2))</f>
        <v>52</v>
      </c>
      <c r="B78" s="2">
        <f t="shared" ca="1" si="1"/>
        <v>2</v>
      </c>
    </row>
    <row r="79" spans="1:2" x14ac:dyDescent="0.3">
      <c r="A79" s="2">
        <f ca="1">INT(_xlfn.NORM.INV(RAND(),Parameters!$B$2,Parameters!$C$2))</f>
        <v>72</v>
      </c>
      <c r="B79" s="2">
        <f t="shared" ca="1" si="1"/>
        <v>1</v>
      </c>
    </row>
    <row r="80" spans="1:2" x14ac:dyDescent="0.3">
      <c r="A80" s="2">
        <f ca="1">INT(_xlfn.NORM.INV(RAND(),Parameters!$B$2,Parameters!$C$2))</f>
        <v>51</v>
      </c>
      <c r="B80" s="2">
        <f t="shared" ca="1" si="1"/>
        <v>2</v>
      </c>
    </row>
    <row r="81" spans="1:2" x14ac:dyDescent="0.3">
      <c r="A81" s="2">
        <f ca="1">INT(_xlfn.NORM.INV(RAND(),Parameters!$B$2,Parameters!$C$2))</f>
        <v>41</v>
      </c>
      <c r="B81" s="2">
        <f t="shared" ca="1" si="1"/>
        <v>4</v>
      </c>
    </row>
    <row r="82" spans="1:2" x14ac:dyDescent="0.3">
      <c r="A82" s="2">
        <f ca="1">INT(_xlfn.NORM.INV(RAND(),Parameters!$B$2,Parameters!$C$2))</f>
        <v>20</v>
      </c>
      <c r="B82" s="2">
        <f t="shared" ca="1" si="1"/>
        <v>4</v>
      </c>
    </row>
    <row r="83" spans="1:2" x14ac:dyDescent="0.3">
      <c r="A83" s="2">
        <f ca="1">INT(_xlfn.NORM.INV(RAND(),Parameters!$B$2,Parameters!$C$2))</f>
        <v>46</v>
      </c>
      <c r="B83" s="2">
        <f t="shared" ca="1" si="1"/>
        <v>1</v>
      </c>
    </row>
    <row r="84" spans="1:2" x14ac:dyDescent="0.3">
      <c r="A84" s="2">
        <f ca="1">INT(_xlfn.NORM.INV(RAND(),Parameters!$B$2,Parameters!$C$2))</f>
        <v>31</v>
      </c>
      <c r="B84" s="2">
        <f t="shared" ca="1" si="1"/>
        <v>3</v>
      </c>
    </row>
    <row r="85" spans="1:2" x14ac:dyDescent="0.3">
      <c r="A85" s="2">
        <f ca="1">INT(_xlfn.NORM.INV(RAND(),Parameters!$B$2,Parameters!$C$2))</f>
        <v>52</v>
      </c>
      <c r="B85" s="2">
        <f t="shared" ca="1" si="1"/>
        <v>3</v>
      </c>
    </row>
    <row r="86" spans="1:2" x14ac:dyDescent="0.3">
      <c r="A86" s="2">
        <f ca="1">INT(_xlfn.NORM.INV(RAND(),Parameters!$B$2,Parameters!$C$2))</f>
        <v>65</v>
      </c>
      <c r="B86" s="2">
        <f t="shared" ca="1" si="1"/>
        <v>3</v>
      </c>
    </row>
    <row r="87" spans="1:2" x14ac:dyDescent="0.3">
      <c r="A87" s="2">
        <f ca="1">INT(_xlfn.NORM.INV(RAND(),Parameters!$B$2,Parameters!$C$2))</f>
        <v>37</v>
      </c>
      <c r="B87" s="2">
        <f t="shared" ca="1" si="1"/>
        <v>3</v>
      </c>
    </row>
    <row r="88" spans="1:2" x14ac:dyDescent="0.3">
      <c r="A88" s="2">
        <f ca="1">INT(_xlfn.NORM.INV(RAND(),Parameters!$B$2,Parameters!$C$2))</f>
        <v>68</v>
      </c>
      <c r="B88" s="2">
        <f t="shared" ca="1" si="1"/>
        <v>2</v>
      </c>
    </row>
    <row r="89" spans="1:2" x14ac:dyDescent="0.3">
      <c r="A89" s="2">
        <f ca="1">INT(_xlfn.NORM.INV(RAND(),Parameters!$B$2,Parameters!$C$2))</f>
        <v>50</v>
      </c>
      <c r="B89" s="2">
        <f t="shared" ca="1" si="1"/>
        <v>3</v>
      </c>
    </row>
    <row r="90" spans="1:2" x14ac:dyDescent="0.3">
      <c r="A90" s="2">
        <f ca="1">INT(_xlfn.NORM.INV(RAND(),Parameters!$B$2,Parameters!$C$2))</f>
        <v>57</v>
      </c>
      <c r="B90" s="2">
        <f t="shared" ca="1" si="1"/>
        <v>3</v>
      </c>
    </row>
    <row r="91" spans="1:2" x14ac:dyDescent="0.3">
      <c r="A91" s="2">
        <f ca="1">INT(_xlfn.NORM.INV(RAND(),Parameters!$B$2,Parameters!$C$2))</f>
        <v>56</v>
      </c>
      <c r="B91" s="2">
        <f t="shared" ca="1" si="1"/>
        <v>2</v>
      </c>
    </row>
    <row r="92" spans="1:2" x14ac:dyDescent="0.3">
      <c r="A92" s="2">
        <f ca="1">INT(_xlfn.NORM.INV(RAND(),Parameters!$B$2,Parameters!$C$2))</f>
        <v>76</v>
      </c>
      <c r="B92" s="2">
        <f t="shared" ca="1" si="1"/>
        <v>2</v>
      </c>
    </row>
    <row r="93" spans="1:2" x14ac:dyDescent="0.3">
      <c r="A93" s="2">
        <f ca="1">INT(_xlfn.NORM.INV(RAND(),Parameters!$B$2,Parameters!$C$2))</f>
        <v>48</v>
      </c>
      <c r="B93" s="2">
        <f t="shared" ca="1" si="1"/>
        <v>3</v>
      </c>
    </row>
    <row r="94" spans="1:2" x14ac:dyDescent="0.3">
      <c r="A94" s="2">
        <f ca="1">INT(_xlfn.NORM.INV(RAND(),Parameters!$B$2,Parameters!$C$2))</f>
        <v>29</v>
      </c>
      <c r="B94" s="2">
        <f t="shared" ca="1" si="1"/>
        <v>4</v>
      </c>
    </row>
    <row r="95" spans="1:2" x14ac:dyDescent="0.3">
      <c r="A95" s="2">
        <f ca="1">INT(_xlfn.NORM.INV(RAND(),Parameters!$B$2,Parameters!$C$2))</f>
        <v>27</v>
      </c>
      <c r="B95" s="2">
        <f t="shared" ca="1" si="1"/>
        <v>4</v>
      </c>
    </row>
    <row r="96" spans="1:2" x14ac:dyDescent="0.3">
      <c r="A96" s="2">
        <f ca="1">INT(_xlfn.NORM.INV(RAND(),Parameters!$B$2,Parameters!$C$2))</f>
        <v>64</v>
      </c>
      <c r="B96" s="2">
        <f t="shared" ca="1" si="1"/>
        <v>2</v>
      </c>
    </row>
    <row r="97" spans="1:2" x14ac:dyDescent="0.3">
      <c r="A97" s="2">
        <f ca="1">INT(_xlfn.NORM.INV(RAND(),Parameters!$B$2,Parameters!$C$2))</f>
        <v>65</v>
      </c>
      <c r="B97" s="2">
        <f t="shared" ca="1" si="1"/>
        <v>1</v>
      </c>
    </row>
    <row r="98" spans="1:2" x14ac:dyDescent="0.3">
      <c r="A98" s="2">
        <f ca="1">INT(_xlfn.NORM.INV(RAND(),Parameters!$B$2,Parameters!$C$2))</f>
        <v>53</v>
      </c>
      <c r="B98" s="2">
        <f t="shared" ca="1" si="1"/>
        <v>1</v>
      </c>
    </row>
    <row r="99" spans="1:2" x14ac:dyDescent="0.3">
      <c r="A99" s="2">
        <f ca="1">INT(_xlfn.NORM.INV(RAND(),Parameters!$B$2,Parameters!$C$2))</f>
        <v>48</v>
      </c>
      <c r="B99" s="2">
        <f t="shared" ca="1" si="1"/>
        <v>2</v>
      </c>
    </row>
    <row r="100" spans="1:2" x14ac:dyDescent="0.3">
      <c r="A100" s="2">
        <f ca="1">INT(_xlfn.NORM.INV(RAND(),Parameters!$B$2,Parameters!$C$2))</f>
        <v>45</v>
      </c>
      <c r="B100" s="2">
        <f t="shared" ca="1" si="1"/>
        <v>2</v>
      </c>
    </row>
    <row r="101" spans="1:2" x14ac:dyDescent="0.3">
      <c r="A101" s="2">
        <f ca="1">INT(_xlfn.NORM.INV(RAND(),Parameters!$B$2,Parameters!$C$2))</f>
        <v>51</v>
      </c>
      <c r="B101" s="2">
        <f t="shared" ca="1" si="1"/>
        <v>4</v>
      </c>
    </row>
    <row r="102" spans="1:2" x14ac:dyDescent="0.3">
      <c r="A102" s="2">
        <f ca="1">INT(_xlfn.NORM.INV(RAND(),Parameters!$B$2,Parameters!$C$2))</f>
        <v>61</v>
      </c>
      <c r="B102" s="2">
        <f t="shared" ca="1" si="1"/>
        <v>2</v>
      </c>
    </row>
    <row r="103" spans="1:2" x14ac:dyDescent="0.3">
      <c r="A103" s="2">
        <f ca="1">INT(_xlfn.NORM.INV(RAND(),Parameters!$B$2,Parameters!$C$2))</f>
        <v>58</v>
      </c>
      <c r="B103" s="2">
        <f t="shared" ca="1" si="1"/>
        <v>2</v>
      </c>
    </row>
    <row r="104" spans="1:2" x14ac:dyDescent="0.3">
      <c r="A104" s="2">
        <f ca="1">INT(_xlfn.NORM.INV(RAND(),Parameters!$B$2,Parameters!$C$2))</f>
        <v>63</v>
      </c>
      <c r="B104" s="2">
        <f t="shared" ca="1" si="1"/>
        <v>1</v>
      </c>
    </row>
    <row r="105" spans="1:2" x14ac:dyDescent="0.3">
      <c r="A105" s="2">
        <f ca="1">INT(_xlfn.NORM.INV(RAND(),Parameters!$B$2,Parameters!$C$2))</f>
        <v>59</v>
      </c>
      <c r="B105" s="2">
        <f t="shared" ca="1" si="1"/>
        <v>1</v>
      </c>
    </row>
    <row r="106" spans="1:2" x14ac:dyDescent="0.3">
      <c r="A106" s="2">
        <f ca="1">INT(_xlfn.NORM.INV(RAND(),Parameters!$B$2,Parameters!$C$2))</f>
        <v>78</v>
      </c>
      <c r="B106" s="2">
        <f t="shared" ca="1" si="1"/>
        <v>3</v>
      </c>
    </row>
    <row r="107" spans="1:2" x14ac:dyDescent="0.3">
      <c r="A107" s="2">
        <f ca="1">INT(_xlfn.NORM.INV(RAND(),Parameters!$B$2,Parameters!$C$2))</f>
        <v>36</v>
      </c>
      <c r="B107" s="2">
        <f t="shared" ca="1" si="1"/>
        <v>1</v>
      </c>
    </row>
    <row r="108" spans="1:2" x14ac:dyDescent="0.3">
      <c r="A108" s="2">
        <f ca="1">INT(_xlfn.NORM.INV(RAND(),Parameters!$B$2,Parameters!$C$2))</f>
        <v>51</v>
      </c>
      <c r="B108" s="2">
        <f t="shared" ca="1" si="1"/>
        <v>4</v>
      </c>
    </row>
    <row r="109" spans="1:2" x14ac:dyDescent="0.3">
      <c r="A109" s="2">
        <f ca="1">INT(_xlfn.NORM.INV(RAND(),Parameters!$B$2,Parameters!$C$2))</f>
        <v>59</v>
      </c>
      <c r="B109" s="2">
        <f t="shared" ca="1" si="1"/>
        <v>4</v>
      </c>
    </row>
    <row r="110" spans="1:2" x14ac:dyDescent="0.3">
      <c r="A110" s="2">
        <f ca="1">INT(_xlfn.NORM.INV(RAND(),Parameters!$B$2,Parameters!$C$2))</f>
        <v>54</v>
      </c>
      <c r="B110" s="2">
        <f t="shared" ca="1" si="1"/>
        <v>3</v>
      </c>
    </row>
    <row r="111" spans="1:2" x14ac:dyDescent="0.3">
      <c r="A111" s="2">
        <f ca="1">INT(_xlfn.NORM.INV(RAND(),Parameters!$B$2,Parameters!$C$2))</f>
        <v>47</v>
      </c>
      <c r="B111" s="2">
        <f t="shared" ca="1" si="1"/>
        <v>3</v>
      </c>
    </row>
    <row r="112" spans="1:2" x14ac:dyDescent="0.3">
      <c r="A112" s="2">
        <f ca="1">INT(_xlfn.NORM.INV(RAND(),Parameters!$B$2,Parameters!$C$2))</f>
        <v>49</v>
      </c>
      <c r="B112" s="2">
        <f t="shared" ca="1" si="1"/>
        <v>1</v>
      </c>
    </row>
    <row r="113" spans="1:2" x14ac:dyDescent="0.3">
      <c r="A113" s="2">
        <f ca="1">INT(_xlfn.NORM.INV(RAND(),Parameters!$B$2,Parameters!$C$2))</f>
        <v>36</v>
      </c>
      <c r="B113" s="2">
        <f t="shared" ca="1" si="1"/>
        <v>4</v>
      </c>
    </row>
    <row r="114" spans="1:2" x14ac:dyDescent="0.3">
      <c r="A114" s="2">
        <f ca="1">INT(_xlfn.NORM.INV(RAND(),Parameters!$B$2,Parameters!$C$2))</f>
        <v>60</v>
      </c>
      <c r="B114" s="2">
        <f t="shared" ca="1" si="1"/>
        <v>1</v>
      </c>
    </row>
    <row r="115" spans="1:2" x14ac:dyDescent="0.3">
      <c r="A115" s="2">
        <f ca="1">INT(_xlfn.NORM.INV(RAND(),Parameters!$B$2,Parameters!$C$2))</f>
        <v>53</v>
      </c>
      <c r="B115" s="2">
        <f t="shared" ca="1" si="1"/>
        <v>4</v>
      </c>
    </row>
    <row r="116" spans="1:2" x14ac:dyDescent="0.3">
      <c r="A116" s="2">
        <f ca="1">INT(_xlfn.NORM.INV(RAND(),Parameters!$B$2,Parameters!$C$2))</f>
        <v>59</v>
      </c>
      <c r="B116" s="2">
        <f t="shared" ca="1" si="1"/>
        <v>2</v>
      </c>
    </row>
    <row r="117" spans="1:2" x14ac:dyDescent="0.3">
      <c r="A117" s="2">
        <f ca="1">INT(_xlfn.NORM.INV(RAND(),Parameters!$B$2,Parameters!$C$2))</f>
        <v>53</v>
      </c>
      <c r="B117" s="2">
        <f t="shared" ca="1" si="1"/>
        <v>3</v>
      </c>
    </row>
    <row r="118" spans="1:2" x14ac:dyDescent="0.3">
      <c r="A118" s="2">
        <f ca="1">INT(_xlfn.NORM.INV(RAND(),Parameters!$B$2,Parameters!$C$2))</f>
        <v>58</v>
      </c>
      <c r="B118" s="2">
        <f t="shared" ca="1" si="1"/>
        <v>2</v>
      </c>
    </row>
    <row r="119" spans="1:2" x14ac:dyDescent="0.3">
      <c r="A119" s="2">
        <f ca="1">INT(_xlfn.NORM.INV(RAND(),Parameters!$B$2,Parameters!$C$2))</f>
        <v>33</v>
      </c>
      <c r="B119" s="2">
        <f t="shared" ca="1" si="1"/>
        <v>2</v>
      </c>
    </row>
    <row r="120" spans="1:2" x14ac:dyDescent="0.3">
      <c r="A120" s="2">
        <f ca="1">INT(_xlfn.NORM.INV(RAND(),Parameters!$B$2,Parameters!$C$2))</f>
        <v>43</v>
      </c>
      <c r="B120" s="2">
        <f t="shared" ca="1" si="1"/>
        <v>3</v>
      </c>
    </row>
    <row r="121" spans="1:2" x14ac:dyDescent="0.3">
      <c r="A121" s="2">
        <f ca="1">INT(_xlfn.NORM.INV(RAND(),Parameters!$B$2,Parameters!$C$2))</f>
        <v>32</v>
      </c>
      <c r="B121" s="2">
        <f t="shared" ca="1" si="1"/>
        <v>3</v>
      </c>
    </row>
    <row r="122" spans="1:2" x14ac:dyDescent="0.3">
      <c r="A122" s="2">
        <f ca="1">INT(_xlfn.NORM.INV(RAND(),Parameters!$B$2,Parameters!$C$2))</f>
        <v>48</v>
      </c>
      <c r="B122" s="2">
        <f t="shared" ca="1" si="1"/>
        <v>3</v>
      </c>
    </row>
    <row r="123" spans="1:2" x14ac:dyDescent="0.3">
      <c r="A123" s="2">
        <f ca="1">INT(_xlfn.NORM.INV(RAND(),Parameters!$B$2,Parameters!$C$2))</f>
        <v>62</v>
      </c>
      <c r="B123" s="2">
        <f t="shared" ca="1" si="1"/>
        <v>4</v>
      </c>
    </row>
    <row r="124" spans="1:2" x14ac:dyDescent="0.3">
      <c r="A124" s="2">
        <f ca="1">INT(_xlfn.NORM.INV(RAND(),Parameters!$B$2,Parameters!$C$2))</f>
        <v>29</v>
      </c>
      <c r="B124" s="2">
        <f t="shared" ca="1" si="1"/>
        <v>3</v>
      </c>
    </row>
    <row r="125" spans="1:2" x14ac:dyDescent="0.3">
      <c r="A125" s="2">
        <f ca="1">INT(_xlfn.NORM.INV(RAND(),Parameters!$B$2,Parameters!$C$2))</f>
        <v>64</v>
      </c>
      <c r="B125" s="2">
        <f t="shared" ca="1" si="1"/>
        <v>2</v>
      </c>
    </row>
    <row r="126" spans="1:2" x14ac:dyDescent="0.3">
      <c r="A126" s="2">
        <f ca="1">INT(_xlfn.NORM.INV(RAND(),Parameters!$B$2,Parameters!$C$2))</f>
        <v>50</v>
      </c>
      <c r="B126" s="2">
        <f t="shared" ca="1" si="1"/>
        <v>1</v>
      </c>
    </row>
    <row r="127" spans="1:2" x14ac:dyDescent="0.3">
      <c r="A127" s="2">
        <f ca="1">INT(_xlfn.NORM.INV(RAND(),Parameters!$B$2,Parameters!$C$2))</f>
        <v>40</v>
      </c>
      <c r="B127" s="2">
        <f t="shared" ca="1" si="1"/>
        <v>2</v>
      </c>
    </row>
    <row r="128" spans="1:2" x14ac:dyDescent="0.3">
      <c r="A128" s="2">
        <f ca="1">INT(_xlfn.NORM.INV(RAND(),Parameters!$B$2,Parameters!$C$2))</f>
        <v>51</v>
      </c>
      <c r="B128" s="2">
        <f t="shared" ca="1" si="1"/>
        <v>1</v>
      </c>
    </row>
    <row r="129" spans="1:2" x14ac:dyDescent="0.3">
      <c r="A129" s="2">
        <f ca="1">INT(_xlfn.NORM.INV(RAND(),Parameters!$B$2,Parameters!$C$2))</f>
        <v>40</v>
      </c>
      <c r="B129" s="2">
        <f t="shared" ca="1" si="1"/>
        <v>2</v>
      </c>
    </row>
    <row r="130" spans="1:2" x14ac:dyDescent="0.3">
      <c r="A130" s="2">
        <f ca="1">INT(_xlfn.NORM.INV(RAND(),Parameters!$B$2,Parameters!$C$2))</f>
        <v>71</v>
      </c>
      <c r="B130" s="2">
        <f t="shared" ca="1" si="1"/>
        <v>4</v>
      </c>
    </row>
    <row r="131" spans="1:2" x14ac:dyDescent="0.3">
      <c r="A131" s="2">
        <f ca="1">INT(_xlfn.NORM.INV(RAND(),Parameters!$B$2,Parameters!$C$2))</f>
        <v>55</v>
      </c>
      <c r="B131" s="2">
        <f t="shared" ref="B131:B194" ca="1" si="2">RANDBETWEEN(1,4)</f>
        <v>1</v>
      </c>
    </row>
    <row r="132" spans="1:2" x14ac:dyDescent="0.3">
      <c r="A132" s="2">
        <f ca="1">INT(_xlfn.NORM.INV(RAND(),Parameters!$B$2,Parameters!$C$2))</f>
        <v>59</v>
      </c>
      <c r="B132" s="2">
        <f t="shared" ca="1" si="2"/>
        <v>4</v>
      </c>
    </row>
    <row r="133" spans="1:2" x14ac:dyDescent="0.3">
      <c r="A133" s="2">
        <f ca="1">INT(_xlfn.NORM.INV(RAND(),Parameters!$B$2,Parameters!$C$2))</f>
        <v>35</v>
      </c>
      <c r="B133" s="2">
        <f t="shared" ca="1" si="2"/>
        <v>3</v>
      </c>
    </row>
    <row r="134" spans="1:2" x14ac:dyDescent="0.3">
      <c r="A134" s="2">
        <f ca="1">INT(_xlfn.NORM.INV(RAND(),Parameters!$B$2,Parameters!$C$2))</f>
        <v>42</v>
      </c>
      <c r="B134" s="2">
        <f t="shared" ca="1" si="2"/>
        <v>4</v>
      </c>
    </row>
    <row r="135" spans="1:2" x14ac:dyDescent="0.3">
      <c r="A135" s="2">
        <f ca="1">INT(_xlfn.NORM.INV(RAND(),Parameters!$B$2,Parameters!$C$2))</f>
        <v>49</v>
      </c>
      <c r="B135" s="2">
        <f t="shared" ca="1" si="2"/>
        <v>4</v>
      </c>
    </row>
    <row r="136" spans="1:2" x14ac:dyDescent="0.3">
      <c r="A136" s="2">
        <f ca="1">INT(_xlfn.NORM.INV(RAND(),Parameters!$B$2,Parameters!$C$2))</f>
        <v>30</v>
      </c>
      <c r="B136" s="2">
        <f t="shared" ca="1" si="2"/>
        <v>4</v>
      </c>
    </row>
    <row r="137" spans="1:2" x14ac:dyDescent="0.3">
      <c r="A137" s="2">
        <f ca="1">INT(_xlfn.NORM.INV(RAND(),Parameters!$B$2,Parameters!$C$2))</f>
        <v>50</v>
      </c>
      <c r="B137" s="2">
        <f t="shared" ca="1" si="2"/>
        <v>3</v>
      </c>
    </row>
    <row r="138" spans="1:2" x14ac:dyDescent="0.3">
      <c r="A138" s="2">
        <f ca="1">INT(_xlfn.NORM.INV(RAND(),Parameters!$B$2,Parameters!$C$2))</f>
        <v>57</v>
      </c>
      <c r="B138" s="2">
        <f t="shared" ca="1" si="2"/>
        <v>1</v>
      </c>
    </row>
    <row r="139" spans="1:2" x14ac:dyDescent="0.3">
      <c r="A139" s="2">
        <f ca="1">INT(_xlfn.NORM.INV(RAND(),Parameters!$B$2,Parameters!$C$2))</f>
        <v>63</v>
      </c>
      <c r="B139" s="2">
        <f t="shared" ca="1" si="2"/>
        <v>2</v>
      </c>
    </row>
    <row r="140" spans="1:2" x14ac:dyDescent="0.3">
      <c r="A140" s="2">
        <f ca="1">INT(_xlfn.NORM.INV(RAND(),Parameters!$B$2,Parameters!$C$2))</f>
        <v>46</v>
      </c>
      <c r="B140" s="2">
        <f t="shared" ca="1" si="2"/>
        <v>1</v>
      </c>
    </row>
    <row r="141" spans="1:2" x14ac:dyDescent="0.3">
      <c r="A141" s="2">
        <f ca="1">INT(_xlfn.NORM.INV(RAND(),Parameters!$B$2,Parameters!$C$2))</f>
        <v>46</v>
      </c>
      <c r="B141" s="2">
        <f t="shared" ca="1" si="2"/>
        <v>4</v>
      </c>
    </row>
    <row r="142" spans="1:2" x14ac:dyDescent="0.3">
      <c r="A142" s="2">
        <f ca="1">INT(_xlfn.NORM.INV(RAND(),Parameters!$B$2,Parameters!$C$2))</f>
        <v>51</v>
      </c>
      <c r="B142" s="2">
        <f t="shared" ca="1" si="2"/>
        <v>2</v>
      </c>
    </row>
    <row r="143" spans="1:2" x14ac:dyDescent="0.3">
      <c r="A143" s="2">
        <f ca="1">INT(_xlfn.NORM.INV(RAND(),Parameters!$B$2,Parameters!$C$2))</f>
        <v>50</v>
      </c>
      <c r="B143" s="2">
        <f t="shared" ca="1" si="2"/>
        <v>2</v>
      </c>
    </row>
    <row r="144" spans="1:2" x14ac:dyDescent="0.3">
      <c r="A144" s="2">
        <f ca="1">INT(_xlfn.NORM.INV(RAND(),Parameters!$B$2,Parameters!$C$2))</f>
        <v>24</v>
      </c>
      <c r="B144" s="2">
        <f t="shared" ca="1" si="2"/>
        <v>4</v>
      </c>
    </row>
    <row r="145" spans="1:2" x14ac:dyDescent="0.3">
      <c r="A145" s="2">
        <f ca="1">INT(_xlfn.NORM.INV(RAND(),Parameters!$B$2,Parameters!$C$2))</f>
        <v>50</v>
      </c>
      <c r="B145" s="2">
        <f t="shared" ca="1" si="2"/>
        <v>2</v>
      </c>
    </row>
    <row r="146" spans="1:2" x14ac:dyDescent="0.3">
      <c r="A146" s="2">
        <f ca="1">INT(_xlfn.NORM.INV(RAND(),Parameters!$B$2,Parameters!$C$2))</f>
        <v>57</v>
      </c>
      <c r="B146" s="2">
        <f t="shared" ca="1" si="2"/>
        <v>1</v>
      </c>
    </row>
    <row r="147" spans="1:2" x14ac:dyDescent="0.3">
      <c r="A147" s="2">
        <f ca="1">INT(_xlfn.NORM.INV(RAND(),Parameters!$B$2,Parameters!$C$2))</f>
        <v>33</v>
      </c>
      <c r="B147" s="2">
        <f t="shared" ca="1" si="2"/>
        <v>3</v>
      </c>
    </row>
    <row r="148" spans="1:2" x14ac:dyDescent="0.3">
      <c r="A148" s="2">
        <f ca="1">INT(_xlfn.NORM.INV(RAND(),Parameters!$B$2,Parameters!$C$2))</f>
        <v>67</v>
      </c>
      <c r="B148" s="2">
        <f t="shared" ca="1" si="2"/>
        <v>3</v>
      </c>
    </row>
    <row r="149" spans="1:2" x14ac:dyDescent="0.3">
      <c r="A149" s="2">
        <f ca="1">INT(_xlfn.NORM.INV(RAND(),Parameters!$B$2,Parameters!$C$2))</f>
        <v>48</v>
      </c>
      <c r="B149" s="2">
        <f t="shared" ca="1" si="2"/>
        <v>1</v>
      </c>
    </row>
    <row r="150" spans="1:2" x14ac:dyDescent="0.3">
      <c r="A150" s="2">
        <f ca="1">INT(_xlfn.NORM.INV(RAND(),Parameters!$B$2,Parameters!$C$2))</f>
        <v>64</v>
      </c>
      <c r="B150" s="2">
        <f t="shared" ca="1" si="2"/>
        <v>2</v>
      </c>
    </row>
    <row r="151" spans="1:2" x14ac:dyDescent="0.3">
      <c r="A151" s="2">
        <f ca="1">INT(_xlfn.NORM.INV(RAND(),Parameters!$B$2,Parameters!$C$2))</f>
        <v>56</v>
      </c>
      <c r="B151" s="2">
        <f t="shared" ca="1" si="2"/>
        <v>1</v>
      </c>
    </row>
    <row r="152" spans="1:2" x14ac:dyDescent="0.3">
      <c r="A152" s="2">
        <f ca="1">INT(_xlfn.NORM.INV(RAND(),Parameters!$B$2,Parameters!$C$2))</f>
        <v>51</v>
      </c>
      <c r="B152" s="2">
        <f t="shared" ca="1" si="2"/>
        <v>1</v>
      </c>
    </row>
    <row r="153" spans="1:2" x14ac:dyDescent="0.3">
      <c r="A153" s="2">
        <f ca="1">INT(_xlfn.NORM.INV(RAND(),Parameters!$B$2,Parameters!$C$2))</f>
        <v>40</v>
      </c>
      <c r="B153" s="2">
        <f t="shared" ca="1" si="2"/>
        <v>3</v>
      </c>
    </row>
    <row r="154" spans="1:2" x14ac:dyDescent="0.3">
      <c r="A154" s="2">
        <f ca="1">INT(_xlfn.NORM.INV(RAND(),Parameters!$B$2,Parameters!$C$2))</f>
        <v>44</v>
      </c>
      <c r="B154" s="2">
        <f t="shared" ca="1" si="2"/>
        <v>3</v>
      </c>
    </row>
    <row r="155" spans="1:2" x14ac:dyDescent="0.3">
      <c r="A155" s="2">
        <f ca="1">INT(_xlfn.NORM.INV(RAND(),Parameters!$B$2,Parameters!$C$2))</f>
        <v>63</v>
      </c>
      <c r="B155" s="2">
        <f t="shared" ca="1" si="2"/>
        <v>2</v>
      </c>
    </row>
    <row r="156" spans="1:2" x14ac:dyDescent="0.3">
      <c r="A156" s="2">
        <f ca="1">INT(_xlfn.NORM.INV(RAND(),Parameters!$B$2,Parameters!$C$2))</f>
        <v>48</v>
      </c>
      <c r="B156" s="2">
        <f t="shared" ca="1" si="2"/>
        <v>2</v>
      </c>
    </row>
    <row r="157" spans="1:2" x14ac:dyDescent="0.3">
      <c r="A157" s="2">
        <f ca="1">INT(_xlfn.NORM.INV(RAND(),Parameters!$B$2,Parameters!$C$2))</f>
        <v>64</v>
      </c>
      <c r="B157" s="2">
        <f t="shared" ca="1" si="2"/>
        <v>3</v>
      </c>
    </row>
    <row r="158" spans="1:2" x14ac:dyDescent="0.3">
      <c r="A158" s="2">
        <f ca="1">INT(_xlfn.NORM.INV(RAND(),Parameters!$B$2,Parameters!$C$2))</f>
        <v>23</v>
      </c>
      <c r="B158" s="2">
        <f t="shared" ca="1" si="2"/>
        <v>4</v>
      </c>
    </row>
    <row r="159" spans="1:2" x14ac:dyDescent="0.3">
      <c r="A159" s="2">
        <f ca="1">INT(_xlfn.NORM.INV(RAND(),Parameters!$B$2,Parameters!$C$2))</f>
        <v>41</v>
      </c>
      <c r="B159" s="2">
        <f t="shared" ca="1" si="2"/>
        <v>2</v>
      </c>
    </row>
    <row r="160" spans="1:2" x14ac:dyDescent="0.3">
      <c r="A160" s="2">
        <f ca="1">INT(_xlfn.NORM.INV(RAND(),Parameters!$B$2,Parameters!$C$2))</f>
        <v>65</v>
      </c>
      <c r="B160" s="2">
        <f t="shared" ca="1" si="2"/>
        <v>3</v>
      </c>
    </row>
    <row r="161" spans="1:2" x14ac:dyDescent="0.3">
      <c r="A161" s="2">
        <f ca="1">INT(_xlfn.NORM.INV(RAND(),Parameters!$B$2,Parameters!$C$2))</f>
        <v>59</v>
      </c>
      <c r="B161" s="2">
        <f t="shared" ca="1" si="2"/>
        <v>2</v>
      </c>
    </row>
    <row r="162" spans="1:2" x14ac:dyDescent="0.3">
      <c r="A162" s="2">
        <f ca="1">INT(_xlfn.NORM.INV(RAND(),Parameters!$B$2,Parameters!$C$2))</f>
        <v>51</v>
      </c>
      <c r="B162" s="2">
        <f t="shared" ca="1" si="2"/>
        <v>3</v>
      </c>
    </row>
    <row r="163" spans="1:2" x14ac:dyDescent="0.3">
      <c r="A163" s="2">
        <f ca="1">INT(_xlfn.NORM.INV(RAND(),Parameters!$B$2,Parameters!$C$2))</f>
        <v>35</v>
      </c>
      <c r="B163" s="2">
        <f t="shared" ca="1" si="2"/>
        <v>3</v>
      </c>
    </row>
    <row r="164" spans="1:2" x14ac:dyDescent="0.3">
      <c r="A164" s="2">
        <f ca="1">INT(_xlfn.NORM.INV(RAND(),Parameters!$B$2,Parameters!$C$2))</f>
        <v>32</v>
      </c>
      <c r="B164" s="2">
        <f t="shared" ca="1" si="2"/>
        <v>2</v>
      </c>
    </row>
    <row r="165" spans="1:2" x14ac:dyDescent="0.3">
      <c r="A165" s="2">
        <f ca="1">INT(_xlfn.NORM.INV(RAND(),Parameters!$B$2,Parameters!$C$2))</f>
        <v>27</v>
      </c>
      <c r="B165" s="2">
        <f t="shared" ca="1" si="2"/>
        <v>1</v>
      </c>
    </row>
    <row r="166" spans="1:2" x14ac:dyDescent="0.3">
      <c r="A166" s="2">
        <f ca="1">INT(_xlfn.NORM.INV(RAND(),Parameters!$B$2,Parameters!$C$2))</f>
        <v>45</v>
      </c>
      <c r="B166" s="2">
        <f t="shared" ca="1" si="2"/>
        <v>4</v>
      </c>
    </row>
    <row r="167" spans="1:2" x14ac:dyDescent="0.3">
      <c r="A167" s="2">
        <f ca="1">INT(_xlfn.NORM.INV(RAND(),Parameters!$B$2,Parameters!$C$2))</f>
        <v>70</v>
      </c>
      <c r="B167" s="2">
        <f t="shared" ca="1" si="2"/>
        <v>4</v>
      </c>
    </row>
    <row r="168" spans="1:2" x14ac:dyDescent="0.3">
      <c r="A168" s="2">
        <f ca="1">INT(_xlfn.NORM.INV(RAND(),Parameters!$B$2,Parameters!$C$2))</f>
        <v>51</v>
      </c>
      <c r="B168" s="2">
        <f t="shared" ca="1" si="2"/>
        <v>1</v>
      </c>
    </row>
    <row r="169" spans="1:2" x14ac:dyDescent="0.3">
      <c r="A169" s="2">
        <f ca="1">INT(_xlfn.NORM.INV(RAND(),Parameters!$B$2,Parameters!$C$2))</f>
        <v>33</v>
      </c>
      <c r="B169" s="2">
        <f t="shared" ca="1" si="2"/>
        <v>3</v>
      </c>
    </row>
    <row r="170" spans="1:2" x14ac:dyDescent="0.3">
      <c r="A170" s="2">
        <f ca="1">INT(_xlfn.NORM.INV(RAND(),Parameters!$B$2,Parameters!$C$2))</f>
        <v>75</v>
      </c>
      <c r="B170" s="2">
        <f t="shared" ca="1" si="2"/>
        <v>4</v>
      </c>
    </row>
    <row r="171" spans="1:2" x14ac:dyDescent="0.3">
      <c r="A171" s="2">
        <f ca="1">INT(_xlfn.NORM.INV(RAND(),Parameters!$B$2,Parameters!$C$2))</f>
        <v>63</v>
      </c>
      <c r="B171" s="2">
        <f t="shared" ca="1" si="2"/>
        <v>4</v>
      </c>
    </row>
    <row r="172" spans="1:2" x14ac:dyDescent="0.3">
      <c r="A172" s="2">
        <f ca="1">INT(_xlfn.NORM.INV(RAND(),Parameters!$B$2,Parameters!$C$2))</f>
        <v>40</v>
      </c>
      <c r="B172" s="2">
        <f t="shared" ca="1" si="2"/>
        <v>3</v>
      </c>
    </row>
    <row r="173" spans="1:2" x14ac:dyDescent="0.3">
      <c r="A173" s="2">
        <f ca="1">INT(_xlfn.NORM.INV(RAND(),Parameters!$B$2,Parameters!$C$2))</f>
        <v>69</v>
      </c>
      <c r="B173" s="2">
        <f t="shared" ca="1" si="2"/>
        <v>2</v>
      </c>
    </row>
    <row r="174" spans="1:2" x14ac:dyDescent="0.3">
      <c r="A174" s="2">
        <f ca="1">INT(_xlfn.NORM.INV(RAND(),Parameters!$B$2,Parameters!$C$2))</f>
        <v>68</v>
      </c>
      <c r="B174" s="2">
        <f t="shared" ca="1" si="2"/>
        <v>4</v>
      </c>
    </row>
    <row r="175" spans="1:2" x14ac:dyDescent="0.3">
      <c r="A175" s="2">
        <f ca="1">INT(_xlfn.NORM.INV(RAND(),Parameters!$B$2,Parameters!$C$2))</f>
        <v>28</v>
      </c>
      <c r="B175" s="2">
        <f t="shared" ca="1" si="2"/>
        <v>3</v>
      </c>
    </row>
    <row r="176" spans="1:2" x14ac:dyDescent="0.3">
      <c r="A176" s="2">
        <f ca="1">INT(_xlfn.NORM.INV(RAND(),Parameters!$B$2,Parameters!$C$2))</f>
        <v>71</v>
      </c>
      <c r="B176" s="2">
        <f t="shared" ca="1" si="2"/>
        <v>4</v>
      </c>
    </row>
    <row r="177" spans="1:2" x14ac:dyDescent="0.3">
      <c r="A177" s="2">
        <f ca="1">INT(_xlfn.NORM.INV(RAND(),Parameters!$B$2,Parameters!$C$2))</f>
        <v>65</v>
      </c>
      <c r="B177" s="2">
        <f t="shared" ca="1" si="2"/>
        <v>2</v>
      </c>
    </row>
    <row r="178" spans="1:2" x14ac:dyDescent="0.3">
      <c r="A178" s="2">
        <f ca="1">INT(_xlfn.NORM.INV(RAND(),Parameters!$B$2,Parameters!$C$2))</f>
        <v>62</v>
      </c>
      <c r="B178" s="2">
        <f t="shared" ca="1" si="2"/>
        <v>2</v>
      </c>
    </row>
    <row r="179" spans="1:2" x14ac:dyDescent="0.3">
      <c r="A179" s="2">
        <f ca="1">INT(_xlfn.NORM.INV(RAND(),Parameters!$B$2,Parameters!$C$2))</f>
        <v>81</v>
      </c>
      <c r="B179" s="2">
        <f t="shared" ca="1" si="2"/>
        <v>2</v>
      </c>
    </row>
    <row r="180" spans="1:2" x14ac:dyDescent="0.3">
      <c r="A180" s="2">
        <f ca="1">INT(_xlfn.NORM.INV(RAND(),Parameters!$B$2,Parameters!$C$2))</f>
        <v>32</v>
      </c>
      <c r="B180" s="2">
        <f t="shared" ca="1" si="2"/>
        <v>1</v>
      </c>
    </row>
    <row r="181" spans="1:2" x14ac:dyDescent="0.3">
      <c r="A181" s="2">
        <f ca="1">INT(_xlfn.NORM.INV(RAND(),Parameters!$B$2,Parameters!$C$2))</f>
        <v>17</v>
      </c>
      <c r="B181" s="2">
        <f t="shared" ca="1" si="2"/>
        <v>3</v>
      </c>
    </row>
    <row r="182" spans="1:2" x14ac:dyDescent="0.3">
      <c r="A182" s="2">
        <f ca="1">INT(_xlfn.NORM.INV(RAND(),Parameters!$B$2,Parameters!$C$2))</f>
        <v>31</v>
      </c>
      <c r="B182" s="2">
        <f t="shared" ca="1" si="2"/>
        <v>2</v>
      </c>
    </row>
    <row r="183" spans="1:2" x14ac:dyDescent="0.3">
      <c r="A183" s="2">
        <f ca="1">INT(_xlfn.NORM.INV(RAND(),Parameters!$B$2,Parameters!$C$2))</f>
        <v>49</v>
      </c>
      <c r="B183" s="2">
        <f t="shared" ca="1" si="2"/>
        <v>1</v>
      </c>
    </row>
    <row r="184" spans="1:2" x14ac:dyDescent="0.3">
      <c r="A184" s="2">
        <f ca="1">INT(_xlfn.NORM.INV(RAND(),Parameters!$B$2,Parameters!$C$2))</f>
        <v>79</v>
      </c>
      <c r="B184" s="2">
        <f t="shared" ca="1" si="2"/>
        <v>4</v>
      </c>
    </row>
    <row r="185" spans="1:2" x14ac:dyDescent="0.3">
      <c r="A185" s="2">
        <f ca="1">INT(_xlfn.NORM.INV(RAND(),Parameters!$B$2,Parameters!$C$2))</f>
        <v>49</v>
      </c>
      <c r="B185" s="2">
        <f t="shared" ca="1" si="2"/>
        <v>4</v>
      </c>
    </row>
    <row r="186" spans="1:2" x14ac:dyDescent="0.3">
      <c r="A186" s="2">
        <f ca="1">INT(_xlfn.NORM.INV(RAND(),Parameters!$B$2,Parameters!$C$2))</f>
        <v>60</v>
      </c>
      <c r="B186" s="2">
        <f t="shared" ca="1" si="2"/>
        <v>3</v>
      </c>
    </row>
    <row r="187" spans="1:2" x14ac:dyDescent="0.3">
      <c r="A187" s="2">
        <f ca="1">INT(_xlfn.NORM.INV(RAND(),Parameters!$B$2,Parameters!$C$2))</f>
        <v>57</v>
      </c>
      <c r="B187" s="2">
        <f t="shared" ca="1" si="2"/>
        <v>3</v>
      </c>
    </row>
    <row r="188" spans="1:2" x14ac:dyDescent="0.3">
      <c r="A188" s="2">
        <f ca="1">INT(_xlfn.NORM.INV(RAND(),Parameters!$B$2,Parameters!$C$2))</f>
        <v>44</v>
      </c>
      <c r="B188" s="2">
        <f t="shared" ca="1" si="2"/>
        <v>1</v>
      </c>
    </row>
    <row r="189" spans="1:2" x14ac:dyDescent="0.3">
      <c r="A189" s="2">
        <f ca="1">INT(_xlfn.NORM.INV(RAND(),Parameters!$B$2,Parameters!$C$2))</f>
        <v>57</v>
      </c>
      <c r="B189" s="2">
        <f t="shared" ca="1" si="2"/>
        <v>2</v>
      </c>
    </row>
    <row r="190" spans="1:2" x14ac:dyDescent="0.3">
      <c r="A190" s="2">
        <f ca="1">INT(_xlfn.NORM.INV(RAND(),Parameters!$B$2,Parameters!$C$2))</f>
        <v>26</v>
      </c>
      <c r="B190" s="2">
        <f t="shared" ca="1" si="2"/>
        <v>4</v>
      </c>
    </row>
    <row r="191" spans="1:2" x14ac:dyDescent="0.3">
      <c r="A191" s="2">
        <f ca="1">INT(_xlfn.NORM.INV(RAND(),Parameters!$B$2,Parameters!$C$2))</f>
        <v>80</v>
      </c>
      <c r="B191" s="2">
        <f t="shared" ca="1" si="2"/>
        <v>3</v>
      </c>
    </row>
    <row r="192" spans="1:2" x14ac:dyDescent="0.3">
      <c r="A192" s="2">
        <f ca="1">INT(_xlfn.NORM.INV(RAND(),Parameters!$B$2,Parameters!$C$2))</f>
        <v>36</v>
      </c>
      <c r="B192" s="2">
        <f t="shared" ca="1" si="2"/>
        <v>2</v>
      </c>
    </row>
    <row r="193" spans="1:2" x14ac:dyDescent="0.3">
      <c r="A193" s="2">
        <f ca="1">INT(_xlfn.NORM.INV(RAND(),Parameters!$B$2,Parameters!$C$2))</f>
        <v>58</v>
      </c>
      <c r="B193" s="2">
        <f t="shared" ca="1" si="2"/>
        <v>1</v>
      </c>
    </row>
    <row r="194" spans="1:2" x14ac:dyDescent="0.3">
      <c r="A194" s="2">
        <f ca="1">INT(_xlfn.NORM.INV(RAND(),Parameters!$B$2,Parameters!$C$2))</f>
        <v>76</v>
      </c>
      <c r="B194" s="2">
        <f t="shared" ca="1" si="2"/>
        <v>1</v>
      </c>
    </row>
    <row r="195" spans="1:2" x14ac:dyDescent="0.3">
      <c r="A195" s="2">
        <f ca="1">INT(_xlfn.NORM.INV(RAND(),Parameters!$B$2,Parameters!$C$2))</f>
        <v>56</v>
      </c>
      <c r="B195" s="2">
        <f t="shared" ref="B195:B251" ca="1" si="3">RANDBETWEEN(1,4)</f>
        <v>1</v>
      </c>
    </row>
    <row r="196" spans="1:2" x14ac:dyDescent="0.3">
      <c r="A196" s="2">
        <f ca="1">INT(_xlfn.NORM.INV(RAND(),Parameters!$B$2,Parameters!$C$2))</f>
        <v>46</v>
      </c>
      <c r="B196" s="2">
        <f t="shared" ca="1" si="3"/>
        <v>1</v>
      </c>
    </row>
    <row r="197" spans="1:2" x14ac:dyDescent="0.3">
      <c r="A197" s="2">
        <f ca="1">INT(_xlfn.NORM.INV(RAND(),Parameters!$B$2,Parameters!$C$2))</f>
        <v>50</v>
      </c>
      <c r="B197" s="2">
        <f t="shared" ca="1" si="3"/>
        <v>2</v>
      </c>
    </row>
    <row r="198" spans="1:2" x14ac:dyDescent="0.3">
      <c r="A198" s="2">
        <f ca="1">INT(_xlfn.NORM.INV(RAND(),Parameters!$B$2,Parameters!$C$2))</f>
        <v>32</v>
      </c>
      <c r="B198" s="2">
        <f t="shared" ca="1" si="3"/>
        <v>2</v>
      </c>
    </row>
    <row r="199" spans="1:2" x14ac:dyDescent="0.3">
      <c r="A199" s="2">
        <f ca="1">INT(_xlfn.NORM.INV(RAND(),Parameters!$B$2,Parameters!$C$2))</f>
        <v>18</v>
      </c>
      <c r="B199" s="2">
        <f t="shared" ca="1" si="3"/>
        <v>1</v>
      </c>
    </row>
    <row r="200" spans="1:2" x14ac:dyDescent="0.3">
      <c r="A200" s="2">
        <f ca="1">INT(_xlfn.NORM.INV(RAND(),Parameters!$B$2,Parameters!$C$2))</f>
        <v>66</v>
      </c>
      <c r="B200" s="2">
        <f t="shared" ca="1" si="3"/>
        <v>1</v>
      </c>
    </row>
    <row r="201" spans="1:2" x14ac:dyDescent="0.3">
      <c r="A201" s="2">
        <f ca="1">INT(_xlfn.NORM.INV(RAND(),Parameters!$B$2,Parameters!$C$2))</f>
        <v>43</v>
      </c>
      <c r="B201" s="2">
        <f t="shared" ca="1" si="3"/>
        <v>1</v>
      </c>
    </row>
    <row r="202" spans="1:2" x14ac:dyDescent="0.3">
      <c r="A202" s="2">
        <f ca="1">INT(_xlfn.NORM.INV(RAND(),Parameters!$B$2,Parameters!$C$2))</f>
        <v>54</v>
      </c>
      <c r="B202" s="2">
        <f t="shared" ca="1" si="3"/>
        <v>1</v>
      </c>
    </row>
    <row r="203" spans="1:2" x14ac:dyDescent="0.3">
      <c r="A203" s="2">
        <f ca="1">INT(_xlfn.NORM.INV(RAND(),Parameters!$B$2,Parameters!$C$2))</f>
        <v>51</v>
      </c>
      <c r="B203" s="2">
        <f t="shared" ca="1" si="3"/>
        <v>1</v>
      </c>
    </row>
    <row r="204" spans="1:2" x14ac:dyDescent="0.3">
      <c r="A204" s="2">
        <f ca="1">INT(_xlfn.NORM.INV(RAND(),Parameters!$B$2,Parameters!$C$2))</f>
        <v>70</v>
      </c>
      <c r="B204" s="2">
        <f t="shared" ca="1" si="3"/>
        <v>1</v>
      </c>
    </row>
    <row r="205" spans="1:2" x14ac:dyDescent="0.3">
      <c r="A205" s="2">
        <f ca="1">INT(_xlfn.NORM.INV(RAND(),Parameters!$B$2,Parameters!$C$2))</f>
        <v>59</v>
      </c>
      <c r="B205" s="2">
        <f t="shared" ca="1" si="3"/>
        <v>2</v>
      </c>
    </row>
    <row r="206" spans="1:2" x14ac:dyDescent="0.3">
      <c r="A206" s="2">
        <f ca="1">INT(_xlfn.NORM.INV(RAND(),Parameters!$B$2,Parameters!$C$2))</f>
        <v>46</v>
      </c>
      <c r="B206" s="2">
        <f t="shared" ca="1" si="3"/>
        <v>2</v>
      </c>
    </row>
    <row r="207" spans="1:2" x14ac:dyDescent="0.3">
      <c r="A207" s="2">
        <f ca="1">INT(_xlfn.NORM.INV(RAND(),Parameters!$B$2,Parameters!$C$2))</f>
        <v>27</v>
      </c>
      <c r="B207" s="2">
        <f t="shared" ca="1" si="3"/>
        <v>4</v>
      </c>
    </row>
    <row r="208" spans="1:2" x14ac:dyDescent="0.3">
      <c r="A208" s="2">
        <f ca="1">INT(_xlfn.NORM.INV(RAND(),Parameters!$B$2,Parameters!$C$2))</f>
        <v>56</v>
      </c>
      <c r="B208" s="2">
        <f t="shared" ca="1" si="3"/>
        <v>4</v>
      </c>
    </row>
    <row r="209" spans="1:2" x14ac:dyDescent="0.3">
      <c r="A209" s="2">
        <f ca="1">INT(_xlfn.NORM.INV(RAND(),Parameters!$B$2,Parameters!$C$2))</f>
        <v>67</v>
      </c>
      <c r="B209" s="2">
        <f t="shared" ca="1" si="3"/>
        <v>2</v>
      </c>
    </row>
    <row r="210" spans="1:2" x14ac:dyDescent="0.3">
      <c r="A210" s="2">
        <f ca="1">INT(_xlfn.NORM.INV(RAND(),Parameters!$B$2,Parameters!$C$2))</f>
        <v>56</v>
      </c>
      <c r="B210" s="2">
        <f t="shared" ca="1" si="3"/>
        <v>2</v>
      </c>
    </row>
    <row r="211" spans="1:2" x14ac:dyDescent="0.3">
      <c r="A211" s="2">
        <f ca="1">INT(_xlfn.NORM.INV(RAND(),Parameters!$B$2,Parameters!$C$2))</f>
        <v>60</v>
      </c>
      <c r="B211" s="2">
        <f t="shared" ca="1" si="3"/>
        <v>3</v>
      </c>
    </row>
    <row r="212" spans="1:2" x14ac:dyDescent="0.3">
      <c r="A212" s="2">
        <f ca="1">INT(_xlfn.NORM.INV(RAND(),Parameters!$B$2,Parameters!$C$2))</f>
        <v>75</v>
      </c>
      <c r="B212" s="2">
        <f t="shared" ca="1" si="3"/>
        <v>2</v>
      </c>
    </row>
    <row r="213" spans="1:2" x14ac:dyDescent="0.3">
      <c r="A213" s="2">
        <f ca="1">INT(_xlfn.NORM.INV(RAND(),Parameters!$B$2,Parameters!$C$2))</f>
        <v>53</v>
      </c>
      <c r="B213" s="2">
        <f t="shared" ca="1" si="3"/>
        <v>3</v>
      </c>
    </row>
    <row r="214" spans="1:2" x14ac:dyDescent="0.3">
      <c r="A214" s="2">
        <f ca="1">INT(_xlfn.NORM.INV(RAND(),Parameters!$B$2,Parameters!$C$2))</f>
        <v>91</v>
      </c>
      <c r="B214" s="2">
        <f t="shared" ca="1" si="3"/>
        <v>3</v>
      </c>
    </row>
    <row r="215" spans="1:2" x14ac:dyDescent="0.3">
      <c r="A215" s="2">
        <f ca="1">INT(_xlfn.NORM.INV(RAND(),Parameters!$B$2,Parameters!$C$2))</f>
        <v>63</v>
      </c>
      <c r="B215" s="2">
        <f t="shared" ca="1" si="3"/>
        <v>3</v>
      </c>
    </row>
    <row r="216" spans="1:2" x14ac:dyDescent="0.3">
      <c r="A216" s="2">
        <f ca="1">INT(_xlfn.NORM.INV(RAND(),Parameters!$B$2,Parameters!$C$2))</f>
        <v>62</v>
      </c>
      <c r="B216" s="2">
        <f t="shared" ca="1" si="3"/>
        <v>4</v>
      </c>
    </row>
    <row r="217" spans="1:2" x14ac:dyDescent="0.3">
      <c r="A217" s="2">
        <f ca="1">INT(_xlfn.NORM.INV(RAND(),Parameters!$B$2,Parameters!$C$2))</f>
        <v>71</v>
      </c>
      <c r="B217" s="2">
        <f t="shared" ca="1" si="3"/>
        <v>3</v>
      </c>
    </row>
    <row r="218" spans="1:2" x14ac:dyDescent="0.3">
      <c r="A218" s="2">
        <f ca="1">INT(_xlfn.NORM.INV(RAND(),Parameters!$B$2,Parameters!$C$2))</f>
        <v>41</v>
      </c>
      <c r="B218" s="2">
        <f t="shared" ca="1" si="3"/>
        <v>1</v>
      </c>
    </row>
    <row r="219" spans="1:2" x14ac:dyDescent="0.3">
      <c r="A219" s="2">
        <f ca="1">INT(_xlfn.NORM.INV(RAND(),Parameters!$B$2,Parameters!$C$2))</f>
        <v>81</v>
      </c>
      <c r="B219" s="2">
        <f t="shared" ca="1" si="3"/>
        <v>4</v>
      </c>
    </row>
    <row r="220" spans="1:2" x14ac:dyDescent="0.3">
      <c r="A220" s="2">
        <f ca="1">INT(_xlfn.NORM.INV(RAND(),Parameters!$B$2,Parameters!$C$2))</f>
        <v>41</v>
      </c>
      <c r="B220" s="2">
        <f t="shared" ca="1" si="3"/>
        <v>3</v>
      </c>
    </row>
    <row r="221" spans="1:2" x14ac:dyDescent="0.3">
      <c r="A221" s="2">
        <f ca="1">INT(_xlfn.NORM.INV(RAND(),Parameters!$B$2,Parameters!$C$2))</f>
        <v>59</v>
      </c>
      <c r="B221" s="2">
        <f t="shared" ca="1" si="3"/>
        <v>3</v>
      </c>
    </row>
    <row r="222" spans="1:2" x14ac:dyDescent="0.3">
      <c r="A222" s="2">
        <f ca="1">INT(_xlfn.NORM.INV(RAND(),Parameters!$B$2,Parameters!$C$2))</f>
        <v>55</v>
      </c>
      <c r="B222" s="2">
        <f t="shared" ca="1" si="3"/>
        <v>3</v>
      </c>
    </row>
    <row r="223" spans="1:2" x14ac:dyDescent="0.3">
      <c r="A223" s="2">
        <f ca="1">INT(_xlfn.NORM.INV(RAND(),Parameters!$B$2,Parameters!$C$2))</f>
        <v>36</v>
      </c>
      <c r="B223" s="2">
        <f t="shared" ca="1" si="3"/>
        <v>4</v>
      </c>
    </row>
    <row r="224" spans="1:2" x14ac:dyDescent="0.3">
      <c r="A224" s="2">
        <f ca="1">INT(_xlfn.NORM.INV(RAND(),Parameters!$B$2,Parameters!$C$2))</f>
        <v>42</v>
      </c>
      <c r="B224" s="2">
        <f t="shared" ca="1" si="3"/>
        <v>4</v>
      </c>
    </row>
    <row r="225" spans="1:2" x14ac:dyDescent="0.3">
      <c r="A225" s="2">
        <f ca="1">INT(_xlfn.NORM.INV(RAND(),Parameters!$B$2,Parameters!$C$2))</f>
        <v>71</v>
      </c>
      <c r="B225" s="2">
        <f t="shared" ca="1" si="3"/>
        <v>1</v>
      </c>
    </row>
    <row r="226" spans="1:2" x14ac:dyDescent="0.3">
      <c r="A226" s="2">
        <f ca="1">INT(_xlfn.NORM.INV(RAND(),Parameters!$B$2,Parameters!$C$2))</f>
        <v>83</v>
      </c>
      <c r="B226" s="2">
        <f t="shared" ca="1" si="3"/>
        <v>2</v>
      </c>
    </row>
    <row r="227" spans="1:2" x14ac:dyDescent="0.3">
      <c r="A227" s="2">
        <f ca="1">INT(_xlfn.NORM.INV(RAND(),Parameters!$B$2,Parameters!$C$2))</f>
        <v>57</v>
      </c>
      <c r="B227" s="2">
        <f t="shared" ca="1" si="3"/>
        <v>3</v>
      </c>
    </row>
    <row r="228" spans="1:2" x14ac:dyDescent="0.3">
      <c r="A228" s="2">
        <f ca="1">INT(_xlfn.NORM.INV(RAND(),Parameters!$B$2,Parameters!$C$2))</f>
        <v>56</v>
      </c>
      <c r="B228" s="2">
        <f t="shared" ca="1" si="3"/>
        <v>1</v>
      </c>
    </row>
    <row r="229" spans="1:2" x14ac:dyDescent="0.3">
      <c r="A229" s="2">
        <f ca="1">INT(_xlfn.NORM.INV(RAND(),Parameters!$B$2,Parameters!$C$2))</f>
        <v>56</v>
      </c>
      <c r="B229" s="2">
        <f t="shared" ca="1" si="3"/>
        <v>1</v>
      </c>
    </row>
    <row r="230" spans="1:2" x14ac:dyDescent="0.3">
      <c r="A230" s="2">
        <f ca="1">INT(_xlfn.NORM.INV(RAND(),Parameters!$B$2,Parameters!$C$2))</f>
        <v>37</v>
      </c>
      <c r="B230" s="2">
        <f t="shared" ca="1" si="3"/>
        <v>3</v>
      </c>
    </row>
    <row r="231" spans="1:2" x14ac:dyDescent="0.3">
      <c r="A231" s="2">
        <f ca="1">INT(_xlfn.NORM.INV(RAND(),Parameters!$B$2,Parameters!$C$2))</f>
        <v>49</v>
      </c>
      <c r="B231" s="2">
        <f t="shared" ca="1" si="3"/>
        <v>1</v>
      </c>
    </row>
    <row r="232" spans="1:2" x14ac:dyDescent="0.3">
      <c r="A232" s="2">
        <f ca="1">INT(_xlfn.NORM.INV(RAND(),Parameters!$B$2,Parameters!$C$2))</f>
        <v>50</v>
      </c>
      <c r="B232" s="2">
        <f t="shared" ca="1" si="3"/>
        <v>3</v>
      </c>
    </row>
    <row r="233" spans="1:2" x14ac:dyDescent="0.3">
      <c r="A233" s="2">
        <f ca="1">INT(_xlfn.NORM.INV(RAND(),Parameters!$B$2,Parameters!$C$2))</f>
        <v>84</v>
      </c>
      <c r="B233" s="2">
        <f t="shared" ca="1" si="3"/>
        <v>3</v>
      </c>
    </row>
    <row r="234" spans="1:2" x14ac:dyDescent="0.3">
      <c r="A234" s="2">
        <f ca="1">INT(_xlfn.NORM.INV(RAND(),Parameters!$B$2,Parameters!$C$2))</f>
        <v>88</v>
      </c>
      <c r="B234" s="2">
        <f t="shared" ca="1" si="3"/>
        <v>4</v>
      </c>
    </row>
    <row r="235" spans="1:2" x14ac:dyDescent="0.3">
      <c r="A235" s="2">
        <f ca="1">INT(_xlfn.NORM.INV(RAND(),Parameters!$B$2,Parameters!$C$2))</f>
        <v>41</v>
      </c>
      <c r="B235" s="2">
        <f t="shared" ca="1" si="3"/>
        <v>2</v>
      </c>
    </row>
    <row r="236" spans="1:2" x14ac:dyDescent="0.3">
      <c r="A236" s="2">
        <f ca="1">INT(_xlfn.NORM.INV(RAND(),Parameters!$B$2,Parameters!$C$2))</f>
        <v>48</v>
      </c>
      <c r="B236" s="2">
        <f t="shared" ca="1" si="3"/>
        <v>4</v>
      </c>
    </row>
    <row r="237" spans="1:2" x14ac:dyDescent="0.3">
      <c r="A237" s="2">
        <f ca="1">INT(_xlfn.NORM.INV(RAND(),Parameters!$B$2,Parameters!$C$2))</f>
        <v>65</v>
      </c>
      <c r="B237" s="2">
        <f t="shared" ca="1" si="3"/>
        <v>1</v>
      </c>
    </row>
    <row r="238" spans="1:2" x14ac:dyDescent="0.3">
      <c r="A238" s="2">
        <f ca="1">INT(_xlfn.NORM.INV(RAND(),Parameters!$B$2,Parameters!$C$2))</f>
        <v>64</v>
      </c>
      <c r="B238" s="2">
        <f t="shared" ca="1" si="3"/>
        <v>3</v>
      </c>
    </row>
    <row r="239" spans="1:2" x14ac:dyDescent="0.3">
      <c r="A239" s="2">
        <f ca="1">INT(_xlfn.NORM.INV(RAND(),Parameters!$B$2,Parameters!$C$2))</f>
        <v>25</v>
      </c>
      <c r="B239" s="2">
        <f t="shared" ca="1" si="3"/>
        <v>4</v>
      </c>
    </row>
    <row r="240" spans="1:2" x14ac:dyDescent="0.3">
      <c r="A240" s="2">
        <f ca="1">INT(_xlfn.NORM.INV(RAND(),Parameters!$B$2,Parameters!$C$2))</f>
        <v>55</v>
      </c>
      <c r="B240" s="2">
        <f t="shared" ca="1" si="3"/>
        <v>4</v>
      </c>
    </row>
    <row r="241" spans="1:2" x14ac:dyDescent="0.3">
      <c r="A241" s="2">
        <f ca="1">INT(_xlfn.NORM.INV(RAND(),Parameters!$B$2,Parameters!$C$2))</f>
        <v>55</v>
      </c>
      <c r="B241" s="2">
        <f t="shared" ca="1" si="3"/>
        <v>3</v>
      </c>
    </row>
    <row r="242" spans="1:2" x14ac:dyDescent="0.3">
      <c r="A242" s="2">
        <f ca="1">INT(_xlfn.NORM.INV(RAND(),Parameters!$B$2,Parameters!$C$2))</f>
        <v>56</v>
      </c>
      <c r="B242" s="2">
        <f t="shared" ca="1" si="3"/>
        <v>2</v>
      </c>
    </row>
    <row r="243" spans="1:2" x14ac:dyDescent="0.3">
      <c r="A243" s="2">
        <f ca="1">INT(_xlfn.NORM.INV(RAND(),Parameters!$B$2,Parameters!$C$2))</f>
        <v>57</v>
      </c>
      <c r="B243" s="2">
        <f t="shared" ca="1" si="3"/>
        <v>3</v>
      </c>
    </row>
    <row r="244" spans="1:2" x14ac:dyDescent="0.3">
      <c r="A244" s="2">
        <f ca="1">INT(_xlfn.NORM.INV(RAND(),Parameters!$B$2,Parameters!$C$2))</f>
        <v>49</v>
      </c>
      <c r="B244" s="2">
        <f t="shared" ca="1" si="3"/>
        <v>1</v>
      </c>
    </row>
    <row r="245" spans="1:2" x14ac:dyDescent="0.3">
      <c r="A245" s="2">
        <f ca="1">INT(_xlfn.NORM.INV(RAND(),Parameters!$B$2,Parameters!$C$2))</f>
        <v>62</v>
      </c>
      <c r="B245" s="2">
        <f t="shared" ca="1" si="3"/>
        <v>4</v>
      </c>
    </row>
    <row r="246" spans="1:2" x14ac:dyDescent="0.3">
      <c r="A246" s="2">
        <f ca="1">INT(_xlfn.NORM.INV(RAND(),Parameters!$B$2,Parameters!$C$2))</f>
        <v>64</v>
      </c>
      <c r="B246" s="2">
        <f t="shared" ca="1" si="3"/>
        <v>1</v>
      </c>
    </row>
    <row r="247" spans="1:2" x14ac:dyDescent="0.3">
      <c r="A247" s="2">
        <f ca="1">INT(_xlfn.NORM.INV(RAND(),Parameters!$B$2,Parameters!$C$2))</f>
        <v>58</v>
      </c>
      <c r="B247" s="2">
        <f t="shared" ca="1" si="3"/>
        <v>2</v>
      </c>
    </row>
    <row r="248" spans="1:2" x14ac:dyDescent="0.3">
      <c r="A248" s="2">
        <f ca="1">INT(_xlfn.NORM.INV(RAND(),Parameters!$B$2,Parameters!$C$2))</f>
        <v>57</v>
      </c>
      <c r="B248" s="2">
        <f t="shared" ca="1" si="3"/>
        <v>1</v>
      </c>
    </row>
    <row r="249" spans="1:2" x14ac:dyDescent="0.3">
      <c r="A249" s="2">
        <f ca="1">INT(_xlfn.NORM.INV(RAND(),Parameters!$B$2,Parameters!$C$2))</f>
        <v>46</v>
      </c>
      <c r="B249" s="2">
        <f t="shared" ca="1" si="3"/>
        <v>2</v>
      </c>
    </row>
    <row r="250" spans="1:2" x14ac:dyDescent="0.3">
      <c r="A250" s="2">
        <f ca="1">INT(_xlfn.NORM.INV(RAND(),Parameters!$B$2,Parameters!$C$2))</f>
        <v>64</v>
      </c>
      <c r="B250" s="2">
        <f t="shared" ca="1" si="3"/>
        <v>1</v>
      </c>
    </row>
    <row r="251" spans="1:2" x14ac:dyDescent="0.3">
      <c r="A251" s="2">
        <f ca="1">INT(_xlfn.NORM.INV(RAND(),Parameters!$B$2,Parameters!$C$2))</f>
        <v>32</v>
      </c>
      <c r="B251" s="2">
        <f t="shared" ca="1" si="3"/>
        <v>1</v>
      </c>
    </row>
    <row r="252" spans="1:2" x14ac:dyDescent="0.3">
      <c r="A252" s="2"/>
    </row>
    <row r="253" spans="1:2" x14ac:dyDescent="0.3">
      <c r="A253" s="2"/>
    </row>
    <row r="254" spans="1:2" x14ac:dyDescent="0.3">
      <c r="A254" s="2"/>
    </row>
    <row r="255" spans="1:2" x14ac:dyDescent="0.3">
      <c r="A255" s="2"/>
    </row>
    <row r="256" spans="1:2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8CE1-0805-4F86-9497-E110E1A86EC0}">
  <sheetPr>
    <tabColor theme="7" tint="0.79998168889431442"/>
  </sheetPr>
  <dimension ref="A1:C251"/>
  <sheetViews>
    <sheetView showGridLines="0" workbookViewId="0">
      <selection activeCell="C2" sqref="C2"/>
    </sheetView>
  </sheetViews>
  <sheetFormatPr defaultRowHeight="14.4" x14ac:dyDescent="0.3"/>
  <cols>
    <col min="3" max="3" width="9.21875" bestFit="1" customWidth="1"/>
  </cols>
  <sheetData>
    <row r="1" spans="1:3" ht="19.8" thickTop="1" thickBot="1" x14ac:dyDescent="0.5">
      <c r="A1" s="1" t="s">
        <v>3</v>
      </c>
      <c r="B1" s="1" t="s">
        <v>4</v>
      </c>
      <c r="C1" s="1" t="s">
        <v>5</v>
      </c>
    </row>
    <row r="2" spans="1:3" ht="15" thickTop="1" x14ac:dyDescent="0.3">
      <c r="A2" s="2">
        <f ca="1">Data!A2</f>
        <v>59</v>
      </c>
      <c r="B2" s="2">
        <f ca="1">Data!B2</f>
        <v>4</v>
      </c>
      <c r="C2" s="2" t="str">
        <f ca="1">IF(B2=1,"YES","NO")</f>
        <v>NO</v>
      </c>
    </row>
    <row r="3" spans="1:3" x14ac:dyDescent="0.3">
      <c r="A3" s="2">
        <f ca="1">Data!A3</f>
        <v>59</v>
      </c>
      <c r="B3" s="2">
        <f ca="1">Data!B3</f>
        <v>3</v>
      </c>
      <c r="C3" s="2" t="str">
        <f t="shared" ref="C3:C66" ca="1" si="0">IF(B3=1,"YES","NO")</f>
        <v>NO</v>
      </c>
    </row>
    <row r="4" spans="1:3" x14ac:dyDescent="0.3">
      <c r="A4" s="2">
        <f ca="1">Data!A4</f>
        <v>53</v>
      </c>
      <c r="B4" s="2">
        <f ca="1">Data!B4</f>
        <v>1</v>
      </c>
      <c r="C4" s="2" t="str">
        <f t="shared" ca="1" si="0"/>
        <v>YES</v>
      </c>
    </row>
    <row r="5" spans="1:3" x14ac:dyDescent="0.3">
      <c r="A5" s="2">
        <f ca="1">Data!A5</f>
        <v>61</v>
      </c>
      <c r="B5" s="2">
        <f ca="1">Data!B5</f>
        <v>1</v>
      </c>
      <c r="C5" s="2" t="str">
        <f t="shared" ca="1" si="0"/>
        <v>YES</v>
      </c>
    </row>
    <row r="6" spans="1:3" x14ac:dyDescent="0.3">
      <c r="A6" s="2">
        <f ca="1">Data!A6</f>
        <v>57</v>
      </c>
      <c r="B6" s="2">
        <f ca="1">Data!B6</f>
        <v>1</v>
      </c>
      <c r="C6" s="2" t="str">
        <f t="shared" ca="1" si="0"/>
        <v>YES</v>
      </c>
    </row>
    <row r="7" spans="1:3" x14ac:dyDescent="0.3">
      <c r="A7" s="2">
        <f ca="1">Data!A7</f>
        <v>45</v>
      </c>
      <c r="B7" s="2">
        <f ca="1">Data!B7</f>
        <v>1</v>
      </c>
      <c r="C7" s="2" t="str">
        <f t="shared" ca="1" si="0"/>
        <v>YES</v>
      </c>
    </row>
    <row r="8" spans="1:3" x14ac:dyDescent="0.3">
      <c r="A8" s="2">
        <f ca="1">Data!A8</f>
        <v>48</v>
      </c>
      <c r="B8" s="2">
        <f ca="1">Data!B8</f>
        <v>3</v>
      </c>
      <c r="C8" s="2" t="str">
        <f t="shared" ca="1" si="0"/>
        <v>NO</v>
      </c>
    </row>
    <row r="9" spans="1:3" x14ac:dyDescent="0.3">
      <c r="A9" s="2">
        <f ca="1">Data!A9</f>
        <v>28</v>
      </c>
      <c r="B9" s="2">
        <f ca="1">Data!B9</f>
        <v>1</v>
      </c>
      <c r="C9" s="2" t="str">
        <f t="shared" ca="1" si="0"/>
        <v>YES</v>
      </c>
    </row>
    <row r="10" spans="1:3" x14ac:dyDescent="0.3">
      <c r="A10" s="2">
        <f ca="1">Data!A10</f>
        <v>63</v>
      </c>
      <c r="B10" s="2">
        <f ca="1">Data!B10</f>
        <v>2</v>
      </c>
      <c r="C10" s="2" t="str">
        <f t="shared" ca="1" si="0"/>
        <v>NO</v>
      </c>
    </row>
    <row r="11" spans="1:3" x14ac:dyDescent="0.3">
      <c r="A11" s="2">
        <f ca="1">Data!A11</f>
        <v>48</v>
      </c>
      <c r="B11" s="2">
        <f ca="1">Data!B11</f>
        <v>1</v>
      </c>
      <c r="C11" s="2" t="str">
        <f t="shared" ca="1" si="0"/>
        <v>YES</v>
      </c>
    </row>
    <row r="12" spans="1:3" x14ac:dyDescent="0.3">
      <c r="A12" s="2">
        <f ca="1">Data!A12</f>
        <v>19</v>
      </c>
      <c r="B12" s="2">
        <f ca="1">Data!B12</f>
        <v>3</v>
      </c>
      <c r="C12" s="2" t="str">
        <f t="shared" ca="1" si="0"/>
        <v>NO</v>
      </c>
    </row>
    <row r="13" spans="1:3" x14ac:dyDescent="0.3">
      <c r="A13" s="2">
        <f ca="1">Data!A13</f>
        <v>64</v>
      </c>
      <c r="B13" s="2">
        <f ca="1">Data!B13</f>
        <v>3</v>
      </c>
      <c r="C13" s="2" t="str">
        <f t="shared" ca="1" si="0"/>
        <v>NO</v>
      </c>
    </row>
    <row r="14" spans="1:3" x14ac:dyDescent="0.3">
      <c r="A14" s="2">
        <f ca="1">Data!A14</f>
        <v>5</v>
      </c>
      <c r="B14" s="2">
        <f ca="1">Data!B14</f>
        <v>1</v>
      </c>
      <c r="C14" s="2" t="str">
        <f t="shared" ca="1" si="0"/>
        <v>YES</v>
      </c>
    </row>
    <row r="15" spans="1:3" x14ac:dyDescent="0.3">
      <c r="A15" s="2">
        <f ca="1">Data!A15</f>
        <v>43</v>
      </c>
      <c r="B15" s="2">
        <f ca="1">Data!B15</f>
        <v>1</v>
      </c>
      <c r="C15" s="2" t="str">
        <f t="shared" ca="1" si="0"/>
        <v>YES</v>
      </c>
    </row>
    <row r="16" spans="1:3" x14ac:dyDescent="0.3">
      <c r="A16" s="2">
        <f ca="1">Data!A16</f>
        <v>41</v>
      </c>
      <c r="B16" s="2">
        <f ca="1">Data!B16</f>
        <v>4</v>
      </c>
      <c r="C16" s="2" t="str">
        <f t="shared" ca="1" si="0"/>
        <v>NO</v>
      </c>
    </row>
    <row r="17" spans="1:3" x14ac:dyDescent="0.3">
      <c r="A17" s="2">
        <f ca="1">Data!A17</f>
        <v>47</v>
      </c>
      <c r="B17" s="2">
        <f ca="1">Data!B17</f>
        <v>2</v>
      </c>
      <c r="C17" s="2" t="str">
        <f t="shared" ca="1" si="0"/>
        <v>NO</v>
      </c>
    </row>
    <row r="18" spans="1:3" x14ac:dyDescent="0.3">
      <c r="A18" s="2">
        <f ca="1">Data!A18</f>
        <v>66</v>
      </c>
      <c r="B18" s="2">
        <f ca="1">Data!B18</f>
        <v>4</v>
      </c>
      <c r="C18" s="2" t="str">
        <f t="shared" ca="1" si="0"/>
        <v>NO</v>
      </c>
    </row>
    <row r="19" spans="1:3" x14ac:dyDescent="0.3">
      <c r="A19" s="2">
        <f ca="1">Data!A19</f>
        <v>44</v>
      </c>
      <c r="B19" s="2">
        <f ca="1">Data!B19</f>
        <v>1</v>
      </c>
      <c r="C19" s="2" t="str">
        <f t="shared" ca="1" si="0"/>
        <v>YES</v>
      </c>
    </row>
    <row r="20" spans="1:3" x14ac:dyDescent="0.3">
      <c r="A20" s="2">
        <f ca="1">Data!A20</f>
        <v>32</v>
      </c>
      <c r="B20" s="2">
        <f ca="1">Data!B20</f>
        <v>4</v>
      </c>
      <c r="C20" s="2" t="str">
        <f t="shared" ca="1" si="0"/>
        <v>NO</v>
      </c>
    </row>
    <row r="21" spans="1:3" x14ac:dyDescent="0.3">
      <c r="A21" s="2">
        <f ca="1">Data!A21</f>
        <v>22</v>
      </c>
      <c r="B21" s="2">
        <f ca="1">Data!B21</f>
        <v>3</v>
      </c>
      <c r="C21" s="2" t="str">
        <f t="shared" ca="1" si="0"/>
        <v>NO</v>
      </c>
    </row>
    <row r="22" spans="1:3" x14ac:dyDescent="0.3">
      <c r="A22" s="2">
        <f ca="1">Data!A22</f>
        <v>57</v>
      </c>
      <c r="B22" s="2">
        <f ca="1">Data!B22</f>
        <v>2</v>
      </c>
      <c r="C22" s="2" t="str">
        <f t="shared" ca="1" si="0"/>
        <v>NO</v>
      </c>
    </row>
    <row r="23" spans="1:3" x14ac:dyDescent="0.3">
      <c r="A23" s="2">
        <f ca="1">Data!A23</f>
        <v>51</v>
      </c>
      <c r="B23" s="2">
        <f ca="1">Data!B23</f>
        <v>2</v>
      </c>
      <c r="C23" s="2" t="str">
        <f t="shared" ca="1" si="0"/>
        <v>NO</v>
      </c>
    </row>
    <row r="24" spans="1:3" x14ac:dyDescent="0.3">
      <c r="A24" s="2">
        <f ca="1">Data!A24</f>
        <v>45</v>
      </c>
      <c r="B24" s="2">
        <f ca="1">Data!B24</f>
        <v>3</v>
      </c>
      <c r="C24" s="2" t="str">
        <f t="shared" ca="1" si="0"/>
        <v>NO</v>
      </c>
    </row>
    <row r="25" spans="1:3" x14ac:dyDescent="0.3">
      <c r="A25" s="2">
        <f ca="1">Data!A25</f>
        <v>49</v>
      </c>
      <c r="B25" s="2">
        <f ca="1">Data!B25</f>
        <v>1</v>
      </c>
      <c r="C25" s="2" t="str">
        <f t="shared" ca="1" si="0"/>
        <v>YES</v>
      </c>
    </row>
    <row r="26" spans="1:3" x14ac:dyDescent="0.3">
      <c r="A26" s="2">
        <f ca="1">Data!A26</f>
        <v>51</v>
      </c>
      <c r="B26" s="2">
        <f ca="1">Data!B26</f>
        <v>4</v>
      </c>
      <c r="C26" s="2" t="str">
        <f t="shared" ca="1" si="0"/>
        <v>NO</v>
      </c>
    </row>
    <row r="27" spans="1:3" x14ac:dyDescent="0.3">
      <c r="A27" s="2">
        <f ca="1">Data!A27</f>
        <v>75</v>
      </c>
      <c r="B27" s="2">
        <f ca="1">Data!B27</f>
        <v>3</v>
      </c>
      <c r="C27" s="2" t="str">
        <f t="shared" ca="1" si="0"/>
        <v>NO</v>
      </c>
    </row>
    <row r="28" spans="1:3" x14ac:dyDescent="0.3">
      <c r="A28" s="2">
        <f ca="1">Data!A28</f>
        <v>61</v>
      </c>
      <c r="B28" s="2">
        <f ca="1">Data!B28</f>
        <v>1</v>
      </c>
      <c r="C28" s="2" t="str">
        <f t="shared" ca="1" si="0"/>
        <v>YES</v>
      </c>
    </row>
    <row r="29" spans="1:3" x14ac:dyDescent="0.3">
      <c r="A29" s="2">
        <f ca="1">Data!A29</f>
        <v>53</v>
      </c>
      <c r="B29" s="2">
        <f ca="1">Data!B29</f>
        <v>1</v>
      </c>
      <c r="C29" s="2" t="str">
        <f t="shared" ca="1" si="0"/>
        <v>YES</v>
      </c>
    </row>
    <row r="30" spans="1:3" x14ac:dyDescent="0.3">
      <c r="A30" s="2">
        <f ca="1">Data!A30</f>
        <v>41</v>
      </c>
      <c r="B30" s="2">
        <f ca="1">Data!B30</f>
        <v>1</v>
      </c>
      <c r="C30" s="2" t="str">
        <f t="shared" ca="1" si="0"/>
        <v>YES</v>
      </c>
    </row>
    <row r="31" spans="1:3" x14ac:dyDescent="0.3">
      <c r="A31" s="2">
        <f ca="1">Data!A31</f>
        <v>56</v>
      </c>
      <c r="B31" s="2">
        <f ca="1">Data!B31</f>
        <v>3</v>
      </c>
      <c r="C31" s="2" t="str">
        <f t="shared" ca="1" si="0"/>
        <v>NO</v>
      </c>
    </row>
    <row r="32" spans="1:3" x14ac:dyDescent="0.3">
      <c r="A32" s="2">
        <f ca="1">Data!A32</f>
        <v>46</v>
      </c>
      <c r="B32" s="2">
        <f ca="1">Data!B32</f>
        <v>1</v>
      </c>
      <c r="C32" s="2" t="str">
        <f t="shared" ca="1" si="0"/>
        <v>YES</v>
      </c>
    </row>
    <row r="33" spans="1:3" x14ac:dyDescent="0.3">
      <c r="A33" s="2">
        <f ca="1">Data!A33</f>
        <v>43</v>
      </c>
      <c r="B33" s="2">
        <f ca="1">Data!B33</f>
        <v>3</v>
      </c>
      <c r="C33" s="2" t="str">
        <f t="shared" ca="1" si="0"/>
        <v>NO</v>
      </c>
    </row>
    <row r="34" spans="1:3" x14ac:dyDescent="0.3">
      <c r="A34" s="2">
        <f ca="1">Data!A34</f>
        <v>49</v>
      </c>
      <c r="B34" s="2">
        <f ca="1">Data!B34</f>
        <v>3</v>
      </c>
      <c r="C34" s="2" t="str">
        <f t="shared" ca="1" si="0"/>
        <v>NO</v>
      </c>
    </row>
    <row r="35" spans="1:3" x14ac:dyDescent="0.3">
      <c r="A35" s="2">
        <f ca="1">Data!A35</f>
        <v>47</v>
      </c>
      <c r="B35" s="2">
        <f ca="1">Data!B35</f>
        <v>1</v>
      </c>
      <c r="C35" s="2" t="str">
        <f t="shared" ca="1" si="0"/>
        <v>YES</v>
      </c>
    </row>
    <row r="36" spans="1:3" x14ac:dyDescent="0.3">
      <c r="A36" s="2">
        <f ca="1">Data!A36</f>
        <v>37</v>
      </c>
      <c r="B36" s="2">
        <f ca="1">Data!B36</f>
        <v>3</v>
      </c>
      <c r="C36" s="2" t="str">
        <f t="shared" ca="1" si="0"/>
        <v>NO</v>
      </c>
    </row>
    <row r="37" spans="1:3" x14ac:dyDescent="0.3">
      <c r="A37" s="2">
        <f ca="1">Data!A37</f>
        <v>49</v>
      </c>
      <c r="B37" s="2">
        <f ca="1">Data!B37</f>
        <v>2</v>
      </c>
      <c r="C37" s="2" t="str">
        <f t="shared" ca="1" si="0"/>
        <v>NO</v>
      </c>
    </row>
    <row r="38" spans="1:3" x14ac:dyDescent="0.3">
      <c r="A38" s="2">
        <f ca="1">Data!A38</f>
        <v>38</v>
      </c>
      <c r="B38" s="2">
        <f ca="1">Data!B38</f>
        <v>3</v>
      </c>
      <c r="C38" s="2" t="str">
        <f t="shared" ca="1" si="0"/>
        <v>NO</v>
      </c>
    </row>
    <row r="39" spans="1:3" x14ac:dyDescent="0.3">
      <c r="A39" s="2">
        <f ca="1">Data!A39</f>
        <v>58</v>
      </c>
      <c r="B39" s="2">
        <f ca="1">Data!B39</f>
        <v>2</v>
      </c>
      <c r="C39" s="2" t="str">
        <f t="shared" ca="1" si="0"/>
        <v>NO</v>
      </c>
    </row>
    <row r="40" spans="1:3" x14ac:dyDescent="0.3">
      <c r="A40" s="2">
        <f ca="1">Data!A40</f>
        <v>39</v>
      </c>
      <c r="B40" s="2">
        <f ca="1">Data!B40</f>
        <v>1</v>
      </c>
      <c r="C40" s="2" t="str">
        <f t="shared" ca="1" si="0"/>
        <v>YES</v>
      </c>
    </row>
    <row r="41" spans="1:3" x14ac:dyDescent="0.3">
      <c r="A41" s="2">
        <f ca="1">Data!A41</f>
        <v>75</v>
      </c>
      <c r="B41" s="2">
        <f ca="1">Data!B41</f>
        <v>4</v>
      </c>
      <c r="C41" s="2" t="str">
        <f t="shared" ca="1" si="0"/>
        <v>NO</v>
      </c>
    </row>
    <row r="42" spans="1:3" x14ac:dyDescent="0.3">
      <c r="A42" s="2">
        <f ca="1">Data!A42</f>
        <v>41</v>
      </c>
      <c r="B42" s="2">
        <f ca="1">Data!B42</f>
        <v>2</v>
      </c>
      <c r="C42" s="2" t="str">
        <f t="shared" ca="1" si="0"/>
        <v>NO</v>
      </c>
    </row>
    <row r="43" spans="1:3" x14ac:dyDescent="0.3">
      <c r="A43" s="2">
        <f ca="1">Data!A43</f>
        <v>89</v>
      </c>
      <c r="B43" s="2">
        <f ca="1">Data!B43</f>
        <v>4</v>
      </c>
      <c r="C43" s="2" t="str">
        <f t="shared" ca="1" si="0"/>
        <v>NO</v>
      </c>
    </row>
    <row r="44" spans="1:3" x14ac:dyDescent="0.3">
      <c r="A44" s="2">
        <f ca="1">Data!A44</f>
        <v>78</v>
      </c>
      <c r="B44" s="2">
        <f ca="1">Data!B44</f>
        <v>2</v>
      </c>
      <c r="C44" s="2" t="str">
        <f t="shared" ca="1" si="0"/>
        <v>NO</v>
      </c>
    </row>
    <row r="45" spans="1:3" x14ac:dyDescent="0.3">
      <c r="A45" s="2">
        <f ca="1">Data!A45</f>
        <v>66</v>
      </c>
      <c r="B45" s="2">
        <f ca="1">Data!B45</f>
        <v>4</v>
      </c>
      <c r="C45" s="2" t="str">
        <f t="shared" ca="1" si="0"/>
        <v>NO</v>
      </c>
    </row>
    <row r="46" spans="1:3" x14ac:dyDescent="0.3">
      <c r="A46" s="2">
        <f ca="1">Data!A46</f>
        <v>50</v>
      </c>
      <c r="B46" s="2">
        <f ca="1">Data!B46</f>
        <v>1</v>
      </c>
      <c r="C46" s="2" t="str">
        <f t="shared" ca="1" si="0"/>
        <v>YES</v>
      </c>
    </row>
    <row r="47" spans="1:3" x14ac:dyDescent="0.3">
      <c r="A47" s="2">
        <f ca="1">Data!A47</f>
        <v>30</v>
      </c>
      <c r="B47" s="2">
        <f ca="1">Data!B47</f>
        <v>4</v>
      </c>
      <c r="C47" s="2" t="str">
        <f t="shared" ca="1" si="0"/>
        <v>NO</v>
      </c>
    </row>
    <row r="48" spans="1:3" x14ac:dyDescent="0.3">
      <c r="A48" s="2">
        <f ca="1">Data!A48</f>
        <v>11</v>
      </c>
      <c r="B48" s="2">
        <f ca="1">Data!B48</f>
        <v>1</v>
      </c>
      <c r="C48" s="2" t="str">
        <f t="shared" ca="1" si="0"/>
        <v>YES</v>
      </c>
    </row>
    <row r="49" spans="1:3" x14ac:dyDescent="0.3">
      <c r="A49" s="2">
        <f ca="1">Data!A49</f>
        <v>53</v>
      </c>
      <c r="B49" s="2">
        <f ca="1">Data!B49</f>
        <v>1</v>
      </c>
      <c r="C49" s="2" t="str">
        <f t="shared" ca="1" si="0"/>
        <v>YES</v>
      </c>
    </row>
    <row r="50" spans="1:3" x14ac:dyDescent="0.3">
      <c r="A50" s="2">
        <f ca="1">Data!A50</f>
        <v>31</v>
      </c>
      <c r="B50" s="2">
        <f ca="1">Data!B50</f>
        <v>3</v>
      </c>
      <c r="C50" s="2" t="str">
        <f t="shared" ca="1" si="0"/>
        <v>NO</v>
      </c>
    </row>
    <row r="51" spans="1:3" x14ac:dyDescent="0.3">
      <c r="A51" s="2">
        <f ca="1">Data!A51</f>
        <v>49</v>
      </c>
      <c r="B51" s="2">
        <f ca="1">Data!B51</f>
        <v>3</v>
      </c>
      <c r="C51" s="2" t="str">
        <f t="shared" ca="1" si="0"/>
        <v>NO</v>
      </c>
    </row>
    <row r="52" spans="1:3" x14ac:dyDescent="0.3">
      <c r="A52" s="2">
        <f ca="1">Data!A52</f>
        <v>20</v>
      </c>
      <c r="B52" s="2">
        <f ca="1">Data!B52</f>
        <v>4</v>
      </c>
      <c r="C52" s="2" t="str">
        <f t="shared" ca="1" si="0"/>
        <v>NO</v>
      </c>
    </row>
    <row r="53" spans="1:3" x14ac:dyDescent="0.3">
      <c r="A53" s="2">
        <f ca="1">Data!A53</f>
        <v>31</v>
      </c>
      <c r="B53" s="2">
        <f ca="1">Data!B53</f>
        <v>4</v>
      </c>
      <c r="C53" s="2" t="str">
        <f t="shared" ca="1" si="0"/>
        <v>NO</v>
      </c>
    </row>
    <row r="54" spans="1:3" x14ac:dyDescent="0.3">
      <c r="A54" s="2">
        <f ca="1">Data!A54</f>
        <v>69</v>
      </c>
      <c r="B54" s="2">
        <f ca="1">Data!B54</f>
        <v>3</v>
      </c>
      <c r="C54" s="2" t="str">
        <f t="shared" ca="1" si="0"/>
        <v>NO</v>
      </c>
    </row>
    <row r="55" spans="1:3" x14ac:dyDescent="0.3">
      <c r="A55" s="2">
        <f ca="1">Data!A55</f>
        <v>54</v>
      </c>
      <c r="B55" s="2">
        <f ca="1">Data!B55</f>
        <v>1</v>
      </c>
      <c r="C55" s="2" t="str">
        <f t="shared" ca="1" si="0"/>
        <v>YES</v>
      </c>
    </row>
    <row r="56" spans="1:3" x14ac:dyDescent="0.3">
      <c r="A56" s="2">
        <f ca="1">Data!A56</f>
        <v>33</v>
      </c>
      <c r="B56" s="2">
        <f ca="1">Data!B56</f>
        <v>3</v>
      </c>
      <c r="C56" s="2" t="str">
        <f t="shared" ca="1" si="0"/>
        <v>NO</v>
      </c>
    </row>
    <row r="57" spans="1:3" x14ac:dyDescent="0.3">
      <c r="A57" s="2">
        <f ca="1">Data!A57</f>
        <v>39</v>
      </c>
      <c r="B57" s="2">
        <f ca="1">Data!B57</f>
        <v>1</v>
      </c>
      <c r="C57" s="2" t="str">
        <f t="shared" ca="1" si="0"/>
        <v>YES</v>
      </c>
    </row>
    <row r="58" spans="1:3" x14ac:dyDescent="0.3">
      <c r="A58" s="2">
        <f ca="1">Data!A58</f>
        <v>32</v>
      </c>
      <c r="B58" s="2">
        <f ca="1">Data!B58</f>
        <v>4</v>
      </c>
      <c r="C58" s="2" t="str">
        <f t="shared" ca="1" si="0"/>
        <v>NO</v>
      </c>
    </row>
    <row r="59" spans="1:3" x14ac:dyDescent="0.3">
      <c r="A59" s="2">
        <f ca="1">Data!A59</f>
        <v>43</v>
      </c>
      <c r="B59" s="2">
        <f ca="1">Data!B59</f>
        <v>1</v>
      </c>
      <c r="C59" s="2" t="str">
        <f t="shared" ca="1" si="0"/>
        <v>YES</v>
      </c>
    </row>
    <row r="60" spans="1:3" x14ac:dyDescent="0.3">
      <c r="A60" s="2">
        <f ca="1">Data!A60</f>
        <v>77</v>
      </c>
      <c r="B60" s="2">
        <f ca="1">Data!B60</f>
        <v>1</v>
      </c>
      <c r="C60" s="2" t="str">
        <f t="shared" ca="1" si="0"/>
        <v>YES</v>
      </c>
    </row>
    <row r="61" spans="1:3" x14ac:dyDescent="0.3">
      <c r="A61" s="2">
        <f ca="1">Data!A61</f>
        <v>80</v>
      </c>
      <c r="B61" s="2">
        <f ca="1">Data!B61</f>
        <v>1</v>
      </c>
      <c r="C61" s="2" t="str">
        <f t="shared" ca="1" si="0"/>
        <v>YES</v>
      </c>
    </row>
    <row r="62" spans="1:3" x14ac:dyDescent="0.3">
      <c r="A62" s="2">
        <f ca="1">Data!A62</f>
        <v>36</v>
      </c>
      <c r="B62" s="2">
        <f ca="1">Data!B62</f>
        <v>1</v>
      </c>
      <c r="C62" s="2" t="str">
        <f t="shared" ca="1" si="0"/>
        <v>YES</v>
      </c>
    </row>
    <row r="63" spans="1:3" x14ac:dyDescent="0.3">
      <c r="A63" s="2">
        <f ca="1">Data!A63</f>
        <v>27</v>
      </c>
      <c r="B63" s="2">
        <f ca="1">Data!B63</f>
        <v>1</v>
      </c>
      <c r="C63" s="2" t="str">
        <f t="shared" ca="1" si="0"/>
        <v>YES</v>
      </c>
    </row>
    <row r="64" spans="1:3" x14ac:dyDescent="0.3">
      <c r="A64" s="2">
        <f ca="1">Data!A64</f>
        <v>81</v>
      </c>
      <c r="B64" s="2">
        <f ca="1">Data!B64</f>
        <v>4</v>
      </c>
      <c r="C64" s="2" t="str">
        <f t="shared" ca="1" si="0"/>
        <v>NO</v>
      </c>
    </row>
    <row r="65" spans="1:3" x14ac:dyDescent="0.3">
      <c r="A65" s="2">
        <f ca="1">Data!A65</f>
        <v>52</v>
      </c>
      <c r="B65" s="2">
        <f ca="1">Data!B65</f>
        <v>4</v>
      </c>
      <c r="C65" s="2" t="str">
        <f t="shared" ca="1" si="0"/>
        <v>NO</v>
      </c>
    </row>
    <row r="66" spans="1:3" x14ac:dyDescent="0.3">
      <c r="A66" s="2">
        <f ca="1">Data!A66</f>
        <v>70</v>
      </c>
      <c r="B66" s="2">
        <f ca="1">Data!B66</f>
        <v>3</v>
      </c>
      <c r="C66" s="2" t="str">
        <f t="shared" ca="1" si="0"/>
        <v>NO</v>
      </c>
    </row>
    <row r="67" spans="1:3" x14ac:dyDescent="0.3">
      <c r="A67" s="2">
        <f ca="1">Data!A67</f>
        <v>53</v>
      </c>
      <c r="B67" s="2">
        <f ca="1">Data!B67</f>
        <v>3</v>
      </c>
      <c r="C67" s="2" t="str">
        <f t="shared" ref="C67:C130" ca="1" si="1">IF(B67=1,"YES","NO")</f>
        <v>NO</v>
      </c>
    </row>
    <row r="68" spans="1:3" x14ac:dyDescent="0.3">
      <c r="A68" s="2">
        <f ca="1">Data!A68</f>
        <v>86</v>
      </c>
      <c r="B68" s="2">
        <f ca="1">Data!B68</f>
        <v>4</v>
      </c>
      <c r="C68" s="2" t="str">
        <f t="shared" ca="1" si="1"/>
        <v>NO</v>
      </c>
    </row>
    <row r="69" spans="1:3" x14ac:dyDescent="0.3">
      <c r="A69" s="2">
        <f ca="1">Data!A69</f>
        <v>70</v>
      </c>
      <c r="B69" s="2">
        <f ca="1">Data!B69</f>
        <v>2</v>
      </c>
      <c r="C69" s="2" t="str">
        <f t="shared" ca="1" si="1"/>
        <v>NO</v>
      </c>
    </row>
    <row r="70" spans="1:3" x14ac:dyDescent="0.3">
      <c r="A70" s="2">
        <f ca="1">Data!A70</f>
        <v>68</v>
      </c>
      <c r="B70" s="2">
        <f ca="1">Data!B70</f>
        <v>1</v>
      </c>
      <c r="C70" s="2" t="str">
        <f t="shared" ca="1" si="1"/>
        <v>YES</v>
      </c>
    </row>
    <row r="71" spans="1:3" x14ac:dyDescent="0.3">
      <c r="A71" s="2">
        <f ca="1">Data!A71</f>
        <v>74</v>
      </c>
      <c r="B71" s="2">
        <f ca="1">Data!B71</f>
        <v>1</v>
      </c>
      <c r="C71" s="2" t="str">
        <f t="shared" ca="1" si="1"/>
        <v>YES</v>
      </c>
    </row>
    <row r="72" spans="1:3" x14ac:dyDescent="0.3">
      <c r="A72" s="2">
        <f ca="1">Data!A72</f>
        <v>31</v>
      </c>
      <c r="B72" s="2">
        <f ca="1">Data!B72</f>
        <v>2</v>
      </c>
      <c r="C72" s="2" t="str">
        <f t="shared" ca="1" si="1"/>
        <v>NO</v>
      </c>
    </row>
    <row r="73" spans="1:3" x14ac:dyDescent="0.3">
      <c r="A73" s="2">
        <f ca="1">Data!A73</f>
        <v>60</v>
      </c>
      <c r="B73" s="2">
        <f ca="1">Data!B73</f>
        <v>1</v>
      </c>
      <c r="C73" s="2" t="str">
        <f t="shared" ca="1" si="1"/>
        <v>YES</v>
      </c>
    </row>
    <row r="74" spans="1:3" x14ac:dyDescent="0.3">
      <c r="A74" s="2">
        <f ca="1">Data!A74</f>
        <v>61</v>
      </c>
      <c r="B74" s="2">
        <f ca="1">Data!B74</f>
        <v>2</v>
      </c>
      <c r="C74" s="2" t="str">
        <f t="shared" ca="1" si="1"/>
        <v>NO</v>
      </c>
    </row>
    <row r="75" spans="1:3" x14ac:dyDescent="0.3">
      <c r="A75" s="2">
        <f ca="1">Data!A75</f>
        <v>77</v>
      </c>
      <c r="B75" s="2">
        <f ca="1">Data!B75</f>
        <v>1</v>
      </c>
      <c r="C75" s="2" t="str">
        <f t="shared" ca="1" si="1"/>
        <v>YES</v>
      </c>
    </row>
    <row r="76" spans="1:3" x14ac:dyDescent="0.3">
      <c r="A76" s="2">
        <f ca="1">Data!A76</f>
        <v>47</v>
      </c>
      <c r="B76" s="2">
        <f ca="1">Data!B76</f>
        <v>2</v>
      </c>
      <c r="C76" s="2" t="str">
        <f t="shared" ca="1" si="1"/>
        <v>NO</v>
      </c>
    </row>
    <row r="77" spans="1:3" x14ac:dyDescent="0.3">
      <c r="A77" s="2">
        <f ca="1">Data!A77</f>
        <v>56</v>
      </c>
      <c r="B77" s="2">
        <f ca="1">Data!B77</f>
        <v>1</v>
      </c>
      <c r="C77" s="2" t="str">
        <f t="shared" ca="1" si="1"/>
        <v>YES</v>
      </c>
    </row>
    <row r="78" spans="1:3" x14ac:dyDescent="0.3">
      <c r="A78" s="2">
        <f ca="1">Data!A78</f>
        <v>52</v>
      </c>
      <c r="B78" s="2">
        <f ca="1">Data!B78</f>
        <v>2</v>
      </c>
      <c r="C78" s="2" t="str">
        <f t="shared" ca="1" si="1"/>
        <v>NO</v>
      </c>
    </row>
    <row r="79" spans="1:3" x14ac:dyDescent="0.3">
      <c r="A79" s="2">
        <f ca="1">Data!A79</f>
        <v>72</v>
      </c>
      <c r="B79" s="2">
        <f ca="1">Data!B79</f>
        <v>1</v>
      </c>
      <c r="C79" s="2" t="str">
        <f t="shared" ca="1" si="1"/>
        <v>YES</v>
      </c>
    </row>
    <row r="80" spans="1:3" x14ac:dyDescent="0.3">
      <c r="A80" s="2">
        <f ca="1">Data!A80</f>
        <v>51</v>
      </c>
      <c r="B80" s="2">
        <f ca="1">Data!B80</f>
        <v>2</v>
      </c>
      <c r="C80" s="2" t="str">
        <f t="shared" ca="1" si="1"/>
        <v>NO</v>
      </c>
    </row>
    <row r="81" spans="1:3" x14ac:dyDescent="0.3">
      <c r="A81" s="2">
        <f ca="1">Data!A81</f>
        <v>41</v>
      </c>
      <c r="B81" s="2">
        <f ca="1">Data!B81</f>
        <v>4</v>
      </c>
      <c r="C81" s="2" t="str">
        <f t="shared" ca="1" si="1"/>
        <v>NO</v>
      </c>
    </row>
    <row r="82" spans="1:3" x14ac:dyDescent="0.3">
      <c r="A82" s="2">
        <f ca="1">Data!A82</f>
        <v>20</v>
      </c>
      <c r="B82" s="2">
        <f ca="1">Data!B82</f>
        <v>4</v>
      </c>
      <c r="C82" s="2" t="str">
        <f t="shared" ca="1" si="1"/>
        <v>NO</v>
      </c>
    </row>
    <row r="83" spans="1:3" x14ac:dyDescent="0.3">
      <c r="A83" s="2">
        <f ca="1">Data!A83</f>
        <v>46</v>
      </c>
      <c r="B83" s="2">
        <f ca="1">Data!B83</f>
        <v>1</v>
      </c>
      <c r="C83" s="2" t="str">
        <f t="shared" ca="1" si="1"/>
        <v>YES</v>
      </c>
    </row>
    <row r="84" spans="1:3" x14ac:dyDescent="0.3">
      <c r="A84" s="2">
        <f ca="1">Data!A84</f>
        <v>31</v>
      </c>
      <c r="B84" s="2">
        <f ca="1">Data!B84</f>
        <v>3</v>
      </c>
      <c r="C84" s="2" t="str">
        <f t="shared" ca="1" si="1"/>
        <v>NO</v>
      </c>
    </row>
    <row r="85" spans="1:3" x14ac:dyDescent="0.3">
      <c r="A85" s="2">
        <f ca="1">Data!A85</f>
        <v>52</v>
      </c>
      <c r="B85" s="2">
        <f ca="1">Data!B85</f>
        <v>3</v>
      </c>
      <c r="C85" s="2" t="str">
        <f t="shared" ca="1" si="1"/>
        <v>NO</v>
      </c>
    </row>
    <row r="86" spans="1:3" x14ac:dyDescent="0.3">
      <c r="A86" s="2">
        <f ca="1">Data!A86</f>
        <v>65</v>
      </c>
      <c r="B86" s="2">
        <f ca="1">Data!B86</f>
        <v>3</v>
      </c>
      <c r="C86" s="2" t="str">
        <f t="shared" ca="1" si="1"/>
        <v>NO</v>
      </c>
    </row>
    <row r="87" spans="1:3" x14ac:dyDescent="0.3">
      <c r="A87" s="2">
        <f ca="1">Data!A87</f>
        <v>37</v>
      </c>
      <c r="B87" s="2">
        <f ca="1">Data!B87</f>
        <v>3</v>
      </c>
      <c r="C87" s="2" t="str">
        <f t="shared" ca="1" si="1"/>
        <v>NO</v>
      </c>
    </row>
    <row r="88" spans="1:3" x14ac:dyDescent="0.3">
      <c r="A88" s="2">
        <f ca="1">Data!A88</f>
        <v>68</v>
      </c>
      <c r="B88" s="2">
        <f ca="1">Data!B88</f>
        <v>2</v>
      </c>
      <c r="C88" s="2" t="str">
        <f t="shared" ca="1" si="1"/>
        <v>NO</v>
      </c>
    </row>
    <row r="89" spans="1:3" x14ac:dyDescent="0.3">
      <c r="A89" s="2">
        <f ca="1">Data!A89</f>
        <v>50</v>
      </c>
      <c r="B89" s="2">
        <f ca="1">Data!B89</f>
        <v>3</v>
      </c>
      <c r="C89" s="2" t="str">
        <f t="shared" ca="1" si="1"/>
        <v>NO</v>
      </c>
    </row>
    <row r="90" spans="1:3" x14ac:dyDescent="0.3">
      <c r="A90" s="2">
        <f ca="1">Data!A90</f>
        <v>57</v>
      </c>
      <c r="B90" s="2">
        <f ca="1">Data!B90</f>
        <v>3</v>
      </c>
      <c r="C90" s="2" t="str">
        <f t="shared" ca="1" si="1"/>
        <v>NO</v>
      </c>
    </row>
    <row r="91" spans="1:3" x14ac:dyDescent="0.3">
      <c r="A91" s="2">
        <f ca="1">Data!A91</f>
        <v>56</v>
      </c>
      <c r="B91" s="2">
        <f ca="1">Data!B91</f>
        <v>2</v>
      </c>
      <c r="C91" s="2" t="str">
        <f t="shared" ca="1" si="1"/>
        <v>NO</v>
      </c>
    </row>
    <row r="92" spans="1:3" x14ac:dyDescent="0.3">
      <c r="A92" s="2">
        <f ca="1">Data!A92</f>
        <v>76</v>
      </c>
      <c r="B92" s="2">
        <f ca="1">Data!B92</f>
        <v>2</v>
      </c>
      <c r="C92" s="2" t="str">
        <f t="shared" ca="1" si="1"/>
        <v>NO</v>
      </c>
    </row>
    <row r="93" spans="1:3" x14ac:dyDescent="0.3">
      <c r="A93" s="2">
        <f ca="1">Data!A93</f>
        <v>48</v>
      </c>
      <c r="B93" s="2">
        <f ca="1">Data!B93</f>
        <v>3</v>
      </c>
      <c r="C93" s="2" t="str">
        <f t="shared" ca="1" si="1"/>
        <v>NO</v>
      </c>
    </row>
    <row r="94" spans="1:3" x14ac:dyDescent="0.3">
      <c r="A94" s="2">
        <f ca="1">Data!A94</f>
        <v>29</v>
      </c>
      <c r="B94" s="2">
        <f ca="1">Data!B94</f>
        <v>4</v>
      </c>
      <c r="C94" s="2" t="str">
        <f t="shared" ca="1" si="1"/>
        <v>NO</v>
      </c>
    </row>
    <row r="95" spans="1:3" x14ac:dyDescent="0.3">
      <c r="A95" s="2">
        <f ca="1">Data!A95</f>
        <v>27</v>
      </c>
      <c r="B95" s="2">
        <f ca="1">Data!B95</f>
        <v>4</v>
      </c>
      <c r="C95" s="2" t="str">
        <f t="shared" ca="1" si="1"/>
        <v>NO</v>
      </c>
    </row>
    <row r="96" spans="1:3" x14ac:dyDescent="0.3">
      <c r="A96" s="2">
        <f ca="1">Data!A96</f>
        <v>64</v>
      </c>
      <c r="B96" s="2">
        <f ca="1">Data!B96</f>
        <v>2</v>
      </c>
      <c r="C96" s="2" t="str">
        <f t="shared" ca="1" si="1"/>
        <v>NO</v>
      </c>
    </row>
    <row r="97" spans="1:3" x14ac:dyDescent="0.3">
      <c r="A97" s="2">
        <f ca="1">Data!A97</f>
        <v>65</v>
      </c>
      <c r="B97" s="2">
        <f ca="1">Data!B97</f>
        <v>1</v>
      </c>
      <c r="C97" s="2" t="str">
        <f t="shared" ca="1" si="1"/>
        <v>YES</v>
      </c>
    </row>
    <row r="98" spans="1:3" x14ac:dyDescent="0.3">
      <c r="A98" s="2">
        <f ca="1">Data!A98</f>
        <v>53</v>
      </c>
      <c r="B98" s="2">
        <f ca="1">Data!B98</f>
        <v>1</v>
      </c>
      <c r="C98" s="2" t="str">
        <f t="shared" ca="1" si="1"/>
        <v>YES</v>
      </c>
    </row>
    <row r="99" spans="1:3" x14ac:dyDescent="0.3">
      <c r="A99" s="2">
        <f ca="1">Data!A99</f>
        <v>48</v>
      </c>
      <c r="B99" s="2">
        <f ca="1">Data!B99</f>
        <v>2</v>
      </c>
      <c r="C99" s="2" t="str">
        <f t="shared" ca="1" si="1"/>
        <v>NO</v>
      </c>
    </row>
    <row r="100" spans="1:3" x14ac:dyDescent="0.3">
      <c r="A100" s="2">
        <f ca="1">Data!A100</f>
        <v>45</v>
      </c>
      <c r="B100" s="2">
        <f ca="1">Data!B100</f>
        <v>2</v>
      </c>
      <c r="C100" s="2" t="str">
        <f t="shared" ca="1" si="1"/>
        <v>NO</v>
      </c>
    </row>
    <row r="101" spans="1:3" x14ac:dyDescent="0.3">
      <c r="A101" s="2">
        <f ca="1">Data!A101</f>
        <v>51</v>
      </c>
      <c r="B101" s="2">
        <f ca="1">Data!B101</f>
        <v>4</v>
      </c>
      <c r="C101" s="2" t="str">
        <f t="shared" ca="1" si="1"/>
        <v>NO</v>
      </c>
    </row>
    <row r="102" spans="1:3" x14ac:dyDescent="0.3">
      <c r="A102" s="2">
        <f ca="1">Data!A102</f>
        <v>61</v>
      </c>
      <c r="B102" s="2">
        <f ca="1">Data!B102</f>
        <v>2</v>
      </c>
      <c r="C102" s="2" t="str">
        <f t="shared" ca="1" si="1"/>
        <v>NO</v>
      </c>
    </row>
    <row r="103" spans="1:3" x14ac:dyDescent="0.3">
      <c r="A103" s="2">
        <f ca="1">Data!A103</f>
        <v>58</v>
      </c>
      <c r="B103" s="2">
        <f ca="1">Data!B103</f>
        <v>2</v>
      </c>
      <c r="C103" s="2" t="str">
        <f t="shared" ca="1" si="1"/>
        <v>NO</v>
      </c>
    </row>
    <row r="104" spans="1:3" x14ac:dyDescent="0.3">
      <c r="A104" s="2">
        <f ca="1">Data!A104</f>
        <v>63</v>
      </c>
      <c r="B104" s="2">
        <f ca="1">Data!B104</f>
        <v>1</v>
      </c>
      <c r="C104" s="2" t="str">
        <f t="shared" ca="1" si="1"/>
        <v>YES</v>
      </c>
    </row>
    <row r="105" spans="1:3" x14ac:dyDescent="0.3">
      <c r="A105" s="2">
        <f ca="1">Data!A105</f>
        <v>59</v>
      </c>
      <c r="B105" s="2">
        <f ca="1">Data!B105</f>
        <v>1</v>
      </c>
      <c r="C105" s="2" t="str">
        <f t="shared" ca="1" si="1"/>
        <v>YES</v>
      </c>
    </row>
    <row r="106" spans="1:3" x14ac:dyDescent="0.3">
      <c r="A106" s="2">
        <f ca="1">Data!A106</f>
        <v>78</v>
      </c>
      <c r="B106" s="2">
        <f ca="1">Data!B106</f>
        <v>3</v>
      </c>
      <c r="C106" s="2" t="str">
        <f t="shared" ca="1" si="1"/>
        <v>NO</v>
      </c>
    </row>
    <row r="107" spans="1:3" x14ac:dyDescent="0.3">
      <c r="A107" s="2">
        <f ca="1">Data!A107</f>
        <v>36</v>
      </c>
      <c r="B107" s="2">
        <f ca="1">Data!B107</f>
        <v>1</v>
      </c>
      <c r="C107" s="2" t="str">
        <f t="shared" ca="1" si="1"/>
        <v>YES</v>
      </c>
    </row>
    <row r="108" spans="1:3" x14ac:dyDescent="0.3">
      <c r="A108" s="2">
        <f ca="1">Data!A108</f>
        <v>51</v>
      </c>
      <c r="B108" s="2">
        <f ca="1">Data!B108</f>
        <v>4</v>
      </c>
      <c r="C108" s="2" t="str">
        <f t="shared" ca="1" si="1"/>
        <v>NO</v>
      </c>
    </row>
    <row r="109" spans="1:3" x14ac:dyDescent="0.3">
      <c r="A109" s="2">
        <f ca="1">Data!A109</f>
        <v>59</v>
      </c>
      <c r="B109" s="2">
        <f ca="1">Data!B109</f>
        <v>4</v>
      </c>
      <c r="C109" s="2" t="str">
        <f t="shared" ca="1" si="1"/>
        <v>NO</v>
      </c>
    </row>
    <row r="110" spans="1:3" x14ac:dyDescent="0.3">
      <c r="A110" s="2">
        <f ca="1">Data!A110</f>
        <v>54</v>
      </c>
      <c r="B110" s="2">
        <f ca="1">Data!B110</f>
        <v>3</v>
      </c>
      <c r="C110" s="2" t="str">
        <f t="shared" ca="1" si="1"/>
        <v>NO</v>
      </c>
    </row>
    <row r="111" spans="1:3" x14ac:dyDescent="0.3">
      <c r="A111" s="2">
        <f ca="1">Data!A111</f>
        <v>47</v>
      </c>
      <c r="B111" s="2">
        <f ca="1">Data!B111</f>
        <v>3</v>
      </c>
      <c r="C111" s="2" t="str">
        <f t="shared" ca="1" si="1"/>
        <v>NO</v>
      </c>
    </row>
    <row r="112" spans="1:3" x14ac:dyDescent="0.3">
      <c r="A112" s="2">
        <f ca="1">Data!A112</f>
        <v>49</v>
      </c>
      <c r="B112" s="2">
        <f ca="1">Data!B112</f>
        <v>1</v>
      </c>
      <c r="C112" s="2" t="str">
        <f t="shared" ca="1" si="1"/>
        <v>YES</v>
      </c>
    </row>
    <row r="113" spans="1:3" x14ac:dyDescent="0.3">
      <c r="A113" s="2">
        <f ca="1">Data!A113</f>
        <v>36</v>
      </c>
      <c r="B113" s="2">
        <f ca="1">Data!B113</f>
        <v>4</v>
      </c>
      <c r="C113" s="2" t="str">
        <f t="shared" ca="1" si="1"/>
        <v>NO</v>
      </c>
    </row>
    <row r="114" spans="1:3" x14ac:dyDescent="0.3">
      <c r="A114" s="2">
        <f ca="1">Data!A114</f>
        <v>60</v>
      </c>
      <c r="B114" s="2">
        <f ca="1">Data!B114</f>
        <v>1</v>
      </c>
      <c r="C114" s="2" t="str">
        <f t="shared" ca="1" si="1"/>
        <v>YES</v>
      </c>
    </row>
    <row r="115" spans="1:3" x14ac:dyDescent="0.3">
      <c r="A115" s="2">
        <f ca="1">Data!A115</f>
        <v>53</v>
      </c>
      <c r="B115" s="2">
        <f ca="1">Data!B115</f>
        <v>4</v>
      </c>
      <c r="C115" s="2" t="str">
        <f t="shared" ca="1" si="1"/>
        <v>NO</v>
      </c>
    </row>
    <row r="116" spans="1:3" x14ac:dyDescent="0.3">
      <c r="A116" s="2">
        <f ca="1">Data!A116</f>
        <v>59</v>
      </c>
      <c r="B116" s="2">
        <f ca="1">Data!B116</f>
        <v>2</v>
      </c>
      <c r="C116" s="2" t="str">
        <f t="shared" ca="1" si="1"/>
        <v>NO</v>
      </c>
    </row>
    <row r="117" spans="1:3" x14ac:dyDescent="0.3">
      <c r="A117" s="2">
        <f ca="1">Data!A117</f>
        <v>53</v>
      </c>
      <c r="B117" s="2">
        <f ca="1">Data!B117</f>
        <v>3</v>
      </c>
      <c r="C117" s="2" t="str">
        <f t="shared" ca="1" si="1"/>
        <v>NO</v>
      </c>
    </row>
    <row r="118" spans="1:3" x14ac:dyDescent="0.3">
      <c r="A118" s="2">
        <f ca="1">Data!A118</f>
        <v>58</v>
      </c>
      <c r="B118" s="2">
        <f ca="1">Data!B118</f>
        <v>2</v>
      </c>
      <c r="C118" s="2" t="str">
        <f t="shared" ca="1" si="1"/>
        <v>NO</v>
      </c>
    </row>
    <row r="119" spans="1:3" x14ac:dyDescent="0.3">
      <c r="A119" s="2">
        <f ca="1">Data!A119</f>
        <v>33</v>
      </c>
      <c r="B119" s="2">
        <f ca="1">Data!B119</f>
        <v>2</v>
      </c>
      <c r="C119" s="2" t="str">
        <f t="shared" ca="1" si="1"/>
        <v>NO</v>
      </c>
    </row>
    <row r="120" spans="1:3" x14ac:dyDescent="0.3">
      <c r="A120" s="2">
        <f ca="1">Data!A120</f>
        <v>43</v>
      </c>
      <c r="B120" s="2">
        <f ca="1">Data!B120</f>
        <v>3</v>
      </c>
      <c r="C120" s="2" t="str">
        <f t="shared" ca="1" si="1"/>
        <v>NO</v>
      </c>
    </row>
    <row r="121" spans="1:3" x14ac:dyDescent="0.3">
      <c r="A121" s="2">
        <f ca="1">Data!A121</f>
        <v>32</v>
      </c>
      <c r="B121" s="2">
        <f ca="1">Data!B121</f>
        <v>3</v>
      </c>
      <c r="C121" s="2" t="str">
        <f t="shared" ca="1" si="1"/>
        <v>NO</v>
      </c>
    </row>
    <row r="122" spans="1:3" x14ac:dyDescent="0.3">
      <c r="A122" s="2">
        <f ca="1">Data!A122</f>
        <v>48</v>
      </c>
      <c r="B122" s="2">
        <f ca="1">Data!B122</f>
        <v>3</v>
      </c>
      <c r="C122" s="2" t="str">
        <f t="shared" ca="1" si="1"/>
        <v>NO</v>
      </c>
    </row>
    <row r="123" spans="1:3" x14ac:dyDescent="0.3">
      <c r="A123" s="2">
        <f ca="1">Data!A123</f>
        <v>62</v>
      </c>
      <c r="B123" s="2">
        <f ca="1">Data!B123</f>
        <v>4</v>
      </c>
      <c r="C123" s="2" t="str">
        <f t="shared" ca="1" si="1"/>
        <v>NO</v>
      </c>
    </row>
    <row r="124" spans="1:3" x14ac:dyDescent="0.3">
      <c r="A124" s="2">
        <f ca="1">Data!A124</f>
        <v>29</v>
      </c>
      <c r="B124" s="2">
        <f ca="1">Data!B124</f>
        <v>3</v>
      </c>
      <c r="C124" s="2" t="str">
        <f t="shared" ca="1" si="1"/>
        <v>NO</v>
      </c>
    </row>
    <row r="125" spans="1:3" x14ac:dyDescent="0.3">
      <c r="A125" s="2">
        <f ca="1">Data!A125</f>
        <v>64</v>
      </c>
      <c r="B125" s="2">
        <f ca="1">Data!B125</f>
        <v>2</v>
      </c>
      <c r="C125" s="2" t="str">
        <f t="shared" ca="1" si="1"/>
        <v>NO</v>
      </c>
    </row>
    <row r="126" spans="1:3" x14ac:dyDescent="0.3">
      <c r="A126" s="2">
        <f ca="1">Data!A126</f>
        <v>50</v>
      </c>
      <c r="B126" s="2">
        <f ca="1">Data!B126</f>
        <v>1</v>
      </c>
      <c r="C126" s="2" t="str">
        <f t="shared" ca="1" si="1"/>
        <v>YES</v>
      </c>
    </row>
    <row r="127" spans="1:3" x14ac:dyDescent="0.3">
      <c r="A127" s="2">
        <f ca="1">Data!A127</f>
        <v>40</v>
      </c>
      <c r="B127" s="2">
        <f ca="1">Data!B127</f>
        <v>2</v>
      </c>
      <c r="C127" s="2" t="str">
        <f t="shared" ca="1" si="1"/>
        <v>NO</v>
      </c>
    </row>
    <row r="128" spans="1:3" x14ac:dyDescent="0.3">
      <c r="A128" s="2">
        <f ca="1">Data!A128</f>
        <v>51</v>
      </c>
      <c r="B128" s="2">
        <f ca="1">Data!B128</f>
        <v>1</v>
      </c>
      <c r="C128" s="2" t="str">
        <f t="shared" ca="1" si="1"/>
        <v>YES</v>
      </c>
    </row>
    <row r="129" spans="1:3" x14ac:dyDescent="0.3">
      <c r="A129" s="2">
        <f ca="1">Data!A129</f>
        <v>40</v>
      </c>
      <c r="B129" s="2">
        <f ca="1">Data!B129</f>
        <v>2</v>
      </c>
      <c r="C129" s="2" t="str">
        <f t="shared" ca="1" si="1"/>
        <v>NO</v>
      </c>
    </row>
    <row r="130" spans="1:3" x14ac:dyDescent="0.3">
      <c r="A130" s="2">
        <f ca="1">Data!A130</f>
        <v>71</v>
      </c>
      <c r="B130" s="2">
        <f ca="1">Data!B130</f>
        <v>4</v>
      </c>
      <c r="C130" s="2" t="str">
        <f t="shared" ca="1" si="1"/>
        <v>NO</v>
      </c>
    </row>
    <row r="131" spans="1:3" x14ac:dyDescent="0.3">
      <c r="A131" s="2">
        <f ca="1">Data!A131</f>
        <v>55</v>
      </c>
      <c r="B131" s="2">
        <f ca="1">Data!B131</f>
        <v>1</v>
      </c>
      <c r="C131" s="2" t="str">
        <f t="shared" ref="C131:C194" ca="1" si="2">IF(B131=1,"YES","NO")</f>
        <v>YES</v>
      </c>
    </row>
    <row r="132" spans="1:3" x14ac:dyDescent="0.3">
      <c r="A132" s="2">
        <f ca="1">Data!A132</f>
        <v>59</v>
      </c>
      <c r="B132" s="2">
        <f ca="1">Data!B132</f>
        <v>4</v>
      </c>
      <c r="C132" s="2" t="str">
        <f t="shared" ca="1" si="2"/>
        <v>NO</v>
      </c>
    </row>
    <row r="133" spans="1:3" x14ac:dyDescent="0.3">
      <c r="A133" s="2">
        <f ca="1">Data!A133</f>
        <v>35</v>
      </c>
      <c r="B133" s="2">
        <f ca="1">Data!B133</f>
        <v>3</v>
      </c>
      <c r="C133" s="2" t="str">
        <f t="shared" ca="1" si="2"/>
        <v>NO</v>
      </c>
    </row>
    <row r="134" spans="1:3" x14ac:dyDescent="0.3">
      <c r="A134" s="2">
        <f ca="1">Data!A134</f>
        <v>42</v>
      </c>
      <c r="B134" s="2">
        <f ca="1">Data!B134</f>
        <v>4</v>
      </c>
      <c r="C134" s="2" t="str">
        <f t="shared" ca="1" si="2"/>
        <v>NO</v>
      </c>
    </row>
    <row r="135" spans="1:3" x14ac:dyDescent="0.3">
      <c r="A135" s="2">
        <f ca="1">Data!A135</f>
        <v>49</v>
      </c>
      <c r="B135" s="2">
        <f ca="1">Data!B135</f>
        <v>4</v>
      </c>
      <c r="C135" s="2" t="str">
        <f t="shared" ca="1" si="2"/>
        <v>NO</v>
      </c>
    </row>
    <row r="136" spans="1:3" x14ac:dyDescent="0.3">
      <c r="A136" s="2">
        <f ca="1">Data!A136</f>
        <v>30</v>
      </c>
      <c r="B136" s="2">
        <f ca="1">Data!B136</f>
        <v>4</v>
      </c>
      <c r="C136" s="2" t="str">
        <f t="shared" ca="1" si="2"/>
        <v>NO</v>
      </c>
    </row>
    <row r="137" spans="1:3" x14ac:dyDescent="0.3">
      <c r="A137" s="2">
        <f ca="1">Data!A137</f>
        <v>50</v>
      </c>
      <c r="B137" s="2">
        <f ca="1">Data!B137</f>
        <v>3</v>
      </c>
      <c r="C137" s="2" t="str">
        <f t="shared" ca="1" si="2"/>
        <v>NO</v>
      </c>
    </row>
    <row r="138" spans="1:3" x14ac:dyDescent="0.3">
      <c r="A138" s="2">
        <f ca="1">Data!A138</f>
        <v>57</v>
      </c>
      <c r="B138" s="2">
        <f ca="1">Data!B138</f>
        <v>1</v>
      </c>
      <c r="C138" s="2" t="str">
        <f t="shared" ca="1" si="2"/>
        <v>YES</v>
      </c>
    </row>
    <row r="139" spans="1:3" x14ac:dyDescent="0.3">
      <c r="A139" s="2">
        <f ca="1">Data!A139</f>
        <v>63</v>
      </c>
      <c r="B139" s="2">
        <f ca="1">Data!B139</f>
        <v>2</v>
      </c>
      <c r="C139" s="2" t="str">
        <f t="shared" ca="1" si="2"/>
        <v>NO</v>
      </c>
    </row>
    <row r="140" spans="1:3" x14ac:dyDescent="0.3">
      <c r="A140" s="2">
        <f ca="1">Data!A140</f>
        <v>46</v>
      </c>
      <c r="B140" s="2">
        <f ca="1">Data!B140</f>
        <v>1</v>
      </c>
      <c r="C140" s="2" t="str">
        <f t="shared" ca="1" si="2"/>
        <v>YES</v>
      </c>
    </row>
    <row r="141" spans="1:3" x14ac:dyDescent="0.3">
      <c r="A141" s="2">
        <f ca="1">Data!A141</f>
        <v>46</v>
      </c>
      <c r="B141" s="2">
        <f ca="1">Data!B141</f>
        <v>4</v>
      </c>
      <c r="C141" s="2" t="str">
        <f t="shared" ca="1" si="2"/>
        <v>NO</v>
      </c>
    </row>
    <row r="142" spans="1:3" x14ac:dyDescent="0.3">
      <c r="A142" s="2">
        <f ca="1">Data!A142</f>
        <v>51</v>
      </c>
      <c r="B142" s="2">
        <f ca="1">Data!B142</f>
        <v>2</v>
      </c>
      <c r="C142" s="2" t="str">
        <f t="shared" ca="1" si="2"/>
        <v>NO</v>
      </c>
    </row>
    <row r="143" spans="1:3" x14ac:dyDescent="0.3">
      <c r="A143" s="2">
        <f ca="1">Data!A143</f>
        <v>50</v>
      </c>
      <c r="B143" s="2">
        <f ca="1">Data!B143</f>
        <v>2</v>
      </c>
      <c r="C143" s="2" t="str">
        <f t="shared" ca="1" si="2"/>
        <v>NO</v>
      </c>
    </row>
    <row r="144" spans="1:3" x14ac:dyDescent="0.3">
      <c r="A144" s="2">
        <f ca="1">Data!A144</f>
        <v>24</v>
      </c>
      <c r="B144" s="2">
        <f ca="1">Data!B144</f>
        <v>4</v>
      </c>
      <c r="C144" s="2" t="str">
        <f t="shared" ca="1" si="2"/>
        <v>NO</v>
      </c>
    </row>
    <row r="145" spans="1:3" x14ac:dyDescent="0.3">
      <c r="A145" s="2">
        <f ca="1">Data!A145</f>
        <v>50</v>
      </c>
      <c r="B145" s="2">
        <f ca="1">Data!B145</f>
        <v>2</v>
      </c>
      <c r="C145" s="2" t="str">
        <f t="shared" ca="1" si="2"/>
        <v>NO</v>
      </c>
    </row>
    <row r="146" spans="1:3" x14ac:dyDescent="0.3">
      <c r="A146" s="2">
        <f ca="1">Data!A146</f>
        <v>57</v>
      </c>
      <c r="B146" s="2">
        <f ca="1">Data!B146</f>
        <v>1</v>
      </c>
      <c r="C146" s="2" t="str">
        <f t="shared" ca="1" si="2"/>
        <v>YES</v>
      </c>
    </row>
    <row r="147" spans="1:3" x14ac:dyDescent="0.3">
      <c r="A147" s="2">
        <f ca="1">Data!A147</f>
        <v>33</v>
      </c>
      <c r="B147" s="2">
        <f ca="1">Data!B147</f>
        <v>3</v>
      </c>
      <c r="C147" s="2" t="str">
        <f t="shared" ca="1" si="2"/>
        <v>NO</v>
      </c>
    </row>
    <row r="148" spans="1:3" x14ac:dyDescent="0.3">
      <c r="A148" s="2">
        <f ca="1">Data!A148</f>
        <v>67</v>
      </c>
      <c r="B148" s="2">
        <f ca="1">Data!B148</f>
        <v>3</v>
      </c>
      <c r="C148" s="2" t="str">
        <f t="shared" ca="1" si="2"/>
        <v>NO</v>
      </c>
    </row>
    <row r="149" spans="1:3" x14ac:dyDescent="0.3">
      <c r="A149" s="2">
        <f ca="1">Data!A149</f>
        <v>48</v>
      </c>
      <c r="B149" s="2">
        <f ca="1">Data!B149</f>
        <v>1</v>
      </c>
      <c r="C149" s="2" t="str">
        <f t="shared" ca="1" si="2"/>
        <v>YES</v>
      </c>
    </row>
    <row r="150" spans="1:3" x14ac:dyDescent="0.3">
      <c r="A150" s="2">
        <f ca="1">Data!A150</f>
        <v>64</v>
      </c>
      <c r="B150" s="2">
        <f ca="1">Data!B150</f>
        <v>2</v>
      </c>
      <c r="C150" s="2" t="str">
        <f t="shared" ca="1" si="2"/>
        <v>NO</v>
      </c>
    </row>
    <row r="151" spans="1:3" x14ac:dyDescent="0.3">
      <c r="A151" s="2">
        <f ca="1">Data!A151</f>
        <v>56</v>
      </c>
      <c r="B151" s="2">
        <f ca="1">Data!B151</f>
        <v>1</v>
      </c>
      <c r="C151" s="2" t="str">
        <f t="shared" ca="1" si="2"/>
        <v>YES</v>
      </c>
    </row>
    <row r="152" spans="1:3" x14ac:dyDescent="0.3">
      <c r="A152" s="2">
        <f ca="1">Data!A152</f>
        <v>51</v>
      </c>
      <c r="B152" s="2">
        <f ca="1">Data!B152</f>
        <v>1</v>
      </c>
      <c r="C152" s="2" t="str">
        <f t="shared" ca="1" si="2"/>
        <v>YES</v>
      </c>
    </row>
    <row r="153" spans="1:3" x14ac:dyDescent="0.3">
      <c r="A153" s="2">
        <f ca="1">Data!A153</f>
        <v>40</v>
      </c>
      <c r="B153" s="2">
        <f ca="1">Data!B153</f>
        <v>3</v>
      </c>
      <c r="C153" s="2" t="str">
        <f t="shared" ca="1" si="2"/>
        <v>NO</v>
      </c>
    </row>
    <row r="154" spans="1:3" x14ac:dyDescent="0.3">
      <c r="A154" s="2">
        <f ca="1">Data!A154</f>
        <v>44</v>
      </c>
      <c r="B154" s="2">
        <f ca="1">Data!B154</f>
        <v>3</v>
      </c>
      <c r="C154" s="2" t="str">
        <f t="shared" ca="1" si="2"/>
        <v>NO</v>
      </c>
    </row>
    <row r="155" spans="1:3" x14ac:dyDescent="0.3">
      <c r="A155" s="2">
        <f ca="1">Data!A155</f>
        <v>63</v>
      </c>
      <c r="B155" s="2">
        <f ca="1">Data!B155</f>
        <v>2</v>
      </c>
      <c r="C155" s="2" t="str">
        <f t="shared" ca="1" si="2"/>
        <v>NO</v>
      </c>
    </row>
    <row r="156" spans="1:3" x14ac:dyDescent="0.3">
      <c r="A156" s="2">
        <f ca="1">Data!A156</f>
        <v>48</v>
      </c>
      <c r="B156" s="2">
        <f ca="1">Data!B156</f>
        <v>2</v>
      </c>
      <c r="C156" s="2" t="str">
        <f t="shared" ca="1" si="2"/>
        <v>NO</v>
      </c>
    </row>
    <row r="157" spans="1:3" x14ac:dyDescent="0.3">
      <c r="A157" s="2">
        <f ca="1">Data!A157</f>
        <v>64</v>
      </c>
      <c r="B157" s="2">
        <f ca="1">Data!B157</f>
        <v>3</v>
      </c>
      <c r="C157" s="2" t="str">
        <f t="shared" ca="1" si="2"/>
        <v>NO</v>
      </c>
    </row>
    <row r="158" spans="1:3" x14ac:dyDescent="0.3">
      <c r="A158" s="2">
        <f ca="1">Data!A158</f>
        <v>23</v>
      </c>
      <c r="B158" s="2">
        <f ca="1">Data!B158</f>
        <v>4</v>
      </c>
      <c r="C158" s="2" t="str">
        <f t="shared" ca="1" si="2"/>
        <v>NO</v>
      </c>
    </row>
    <row r="159" spans="1:3" x14ac:dyDescent="0.3">
      <c r="A159" s="2">
        <f ca="1">Data!A159</f>
        <v>41</v>
      </c>
      <c r="B159" s="2">
        <f ca="1">Data!B159</f>
        <v>2</v>
      </c>
      <c r="C159" s="2" t="str">
        <f t="shared" ca="1" si="2"/>
        <v>NO</v>
      </c>
    </row>
    <row r="160" spans="1:3" x14ac:dyDescent="0.3">
      <c r="A160" s="2">
        <f ca="1">Data!A160</f>
        <v>65</v>
      </c>
      <c r="B160" s="2">
        <f ca="1">Data!B160</f>
        <v>3</v>
      </c>
      <c r="C160" s="2" t="str">
        <f t="shared" ca="1" si="2"/>
        <v>NO</v>
      </c>
    </row>
    <row r="161" spans="1:3" x14ac:dyDescent="0.3">
      <c r="A161" s="2">
        <f ca="1">Data!A161</f>
        <v>59</v>
      </c>
      <c r="B161" s="2">
        <f ca="1">Data!B161</f>
        <v>2</v>
      </c>
      <c r="C161" s="2" t="str">
        <f t="shared" ca="1" si="2"/>
        <v>NO</v>
      </c>
    </row>
    <row r="162" spans="1:3" x14ac:dyDescent="0.3">
      <c r="A162" s="2">
        <f ca="1">Data!A162</f>
        <v>51</v>
      </c>
      <c r="B162" s="2">
        <f ca="1">Data!B162</f>
        <v>3</v>
      </c>
      <c r="C162" s="2" t="str">
        <f t="shared" ca="1" si="2"/>
        <v>NO</v>
      </c>
    </row>
    <row r="163" spans="1:3" x14ac:dyDescent="0.3">
      <c r="A163" s="2">
        <f ca="1">Data!A163</f>
        <v>35</v>
      </c>
      <c r="B163" s="2">
        <f ca="1">Data!B163</f>
        <v>3</v>
      </c>
      <c r="C163" s="2" t="str">
        <f t="shared" ca="1" si="2"/>
        <v>NO</v>
      </c>
    </row>
    <row r="164" spans="1:3" x14ac:dyDescent="0.3">
      <c r="A164" s="2">
        <f ca="1">Data!A164</f>
        <v>32</v>
      </c>
      <c r="B164" s="2">
        <f ca="1">Data!B164</f>
        <v>2</v>
      </c>
      <c r="C164" s="2" t="str">
        <f t="shared" ca="1" si="2"/>
        <v>NO</v>
      </c>
    </row>
    <row r="165" spans="1:3" x14ac:dyDescent="0.3">
      <c r="A165" s="2">
        <f ca="1">Data!A165</f>
        <v>27</v>
      </c>
      <c r="B165" s="2">
        <f ca="1">Data!B165</f>
        <v>1</v>
      </c>
      <c r="C165" s="2" t="str">
        <f t="shared" ca="1" si="2"/>
        <v>YES</v>
      </c>
    </row>
    <row r="166" spans="1:3" x14ac:dyDescent="0.3">
      <c r="A166" s="2">
        <f ca="1">Data!A166</f>
        <v>45</v>
      </c>
      <c r="B166" s="2">
        <f ca="1">Data!B166</f>
        <v>4</v>
      </c>
      <c r="C166" s="2" t="str">
        <f t="shared" ca="1" si="2"/>
        <v>NO</v>
      </c>
    </row>
    <row r="167" spans="1:3" x14ac:dyDescent="0.3">
      <c r="A167" s="2">
        <f ca="1">Data!A167</f>
        <v>70</v>
      </c>
      <c r="B167" s="2">
        <f ca="1">Data!B167</f>
        <v>4</v>
      </c>
      <c r="C167" s="2" t="str">
        <f t="shared" ca="1" si="2"/>
        <v>NO</v>
      </c>
    </row>
    <row r="168" spans="1:3" x14ac:dyDescent="0.3">
      <c r="A168" s="2">
        <f ca="1">Data!A168</f>
        <v>51</v>
      </c>
      <c r="B168" s="2">
        <f ca="1">Data!B168</f>
        <v>1</v>
      </c>
      <c r="C168" s="2" t="str">
        <f t="shared" ca="1" si="2"/>
        <v>YES</v>
      </c>
    </row>
    <row r="169" spans="1:3" x14ac:dyDescent="0.3">
      <c r="A169" s="2">
        <f ca="1">Data!A169</f>
        <v>33</v>
      </c>
      <c r="B169" s="2">
        <f ca="1">Data!B169</f>
        <v>3</v>
      </c>
      <c r="C169" s="2" t="str">
        <f t="shared" ca="1" si="2"/>
        <v>NO</v>
      </c>
    </row>
    <row r="170" spans="1:3" x14ac:dyDescent="0.3">
      <c r="A170" s="2">
        <f ca="1">Data!A170</f>
        <v>75</v>
      </c>
      <c r="B170" s="2">
        <f ca="1">Data!B170</f>
        <v>4</v>
      </c>
      <c r="C170" s="2" t="str">
        <f t="shared" ca="1" si="2"/>
        <v>NO</v>
      </c>
    </row>
    <row r="171" spans="1:3" x14ac:dyDescent="0.3">
      <c r="A171" s="2">
        <f ca="1">Data!A171</f>
        <v>63</v>
      </c>
      <c r="B171" s="2">
        <f ca="1">Data!B171</f>
        <v>4</v>
      </c>
      <c r="C171" s="2" t="str">
        <f t="shared" ca="1" si="2"/>
        <v>NO</v>
      </c>
    </row>
    <row r="172" spans="1:3" x14ac:dyDescent="0.3">
      <c r="A172" s="2">
        <f ca="1">Data!A172</f>
        <v>40</v>
      </c>
      <c r="B172" s="2">
        <f ca="1">Data!B172</f>
        <v>3</v>
      </c>
      <c r="C172" s="2" t="str">
        <f t="shared" ca="1" si="2"/>
        <v>NO</v>
      </c>
    </row>
    <row r="173" spans="1:3" x14ac:dyDescent="0.3">
      <c r="A173" s="2">
        <f ca="1">Data!A173</f>
        <v>69</v>
      </c>
      <c r="B173" s="2">
        <f ca="1">Data!B173</f>
        <v>2</v>
      </c>
      <c r="C173" s="2" t="str">
        <f t="shared" ca="1" si="2"/>
        <v>NO</v>
      </c>
    </row>
    <row r="174" spans="1:3" x14ac:dyDescent="0.3">
      <c r="A174" s="2">
        <f ca="1">Data!A174</f>
        <v>68</v>
      </c>
      <c r="B174" s="2">
        <f ca="1">Data!B174</f>
        <v>4</v>
      </c>
      <c r="C174" s="2" t="str">
        <f t="shared" ca="1" si="2"/>
        <v>NO</v>
      </c>
    </row>
    <row r="175" spans="1:3" x14ac:dyDescent="0.3">
      <c r="A175" s="2">
        <f ca="1">Data!A175</f>
        <v>28</v>
      </c>
      <c r="B175" s="2">
        <f ca="1">Data!B175</f>
        <v>3</v>
      </c>
      <c r="C175" s="2" t="str">
        <f t="shared" ca="1" si="2"/>
        <v>NO</v>
      </c>
    </row>
    <row r="176" spans="1:3" x14ac:dyDescent="0.3">
      <c r="A176" s="2">
        <f ca="1">Data!A176</f>
        <v>71</v>
      </c>
      <c r="B176" s="2">
        <f ca="1">Data!B176</f>
        <v>4</v>
      </c>
      <c r="C176" s="2" t="str">
        <f t="shared" ca="1" si="2"/>
        <v>NO</v>
      </c>
    </row>
    <row r="177" spans="1:3" x14ac:dyDescent="0.3">
      <c r="A177" s="2">
        <f ca="1">Data!A177</f>
        <v>65</v>
      </c>
      <c r="B177" s="2">
        <f ca="1">Data!B177</f>
        <v>2</v>
      </c>
      <c r="C177" s="2" t="str">
        <f t="shared" ca="1" si="2"/>
        <v>NO</v>
      </c>
    </row>
    <row r="178" spans="1:3" x14ac:dyDescent="0.3">
      <c r="A178" s="2">
        <f ca="1">Data!A178</f>
        <v>62</v>
      </c>
      <c r="B178" s="2">
        <f ca="1">Data!B178</f>
        <v>2</v>
      </c>
      <c r="C178" s="2" t="str">
        <f t="shared" ca="1" si="2"/>
        <v>NO</v>
      </c>
    </row>
    <row r="179" spans="1:3" x14ac:dyDescent="0.3">
      <c r="A179" s="2">
        <f ca="1">Data!A179</f>
        <v>81</v>
      </c>
      <c r="B179" s="2">
        <f ca="1">Data!B179</f>
        <v>2</v>
      </c>
      <c r="C179" s="2" t="str">
        <f t="shared" ca="1" si="2"/>
        <v>NO</v>
      </c>
    </row>
    <row r="180" spans="1:3" x14ac:dyDescent="0.3">
      <c r="A180" s="2">
        <f ca="1">Data!A180</f>
        <v>32</v>
      </c>
      <c r="B180" s="2">
        <f ca="1">Data!B180</f>
        <v>1</v>
      </c>
      <c r="C180" s="2" t="str">
        <f t="shared" ca="1" si="2"/>
        <v>YES</v>
      </c>
    </row>
    <row r="181" spans="1:3" x14ac:dyDescent="0.3">
      <c r="A181" s="2">
        <f ca="1">Data!A181</f>
        <v>17</v>
      </c>
      <c r="B181" s="2">
        <f ca="1">Data!B181</f>
        <v>3</v>
      </c>
      <c r="C181" s="2" t="str">
        <f t="shared" ca="1" si="2"/>
        <v>NO</v>
      </c>
    </row>
    <row r="182" spans="1:3" x14ac:dyDescent="0.3">
      <c r="A182" s="2">
        <f ca="1">Data!A182</f>
        <v>31</v>
      </c>
      <c r="B182" s="2">
        <f ca="1">Data!B182</f>
        <v>2</v>
      </c>
      <c r="C182" s="2" t="str">
        <f t="shared" ca="1" si="2"/>
        <v>NO</v>
      </c>
    </row>
    <row r="183" spans="1:3" x14ac:dyDescent="0.3">
      <c r="A183" s="2">
        <f ca="1">Data!A183</f>
        <v>49</v>
      </c>
      <c r="B183" s="2">
        <f ca="1">Data!B183</f>
        <v>1</v>
      </c>
      <c r="C183" s="2" t="str">
        <f t="shared" ca="1" si="2"/>
        <v>YES</v>
      </c>
    </row>
    <row r="184" spans="1:3" x14ac:dyDescent="0.3">
      <c r="A184" s="2">
        <f ca="1">Data!A184</f>
        <v>79</v>
      </c>
      <c r="B184" s="2">
        <f ca="1">Data!B184</f>
        <v>4</v>
      </c>
      <c r="C184" s="2" t="str">
        <f t="shared" ca="1" si="2"/>
        <v>NO</v>
      </c>
    </row>
    <row r="185" spans="1:3" x14ac:dyDescent="0.3">
      <c r="A185" s="2">
        <f ca="1">Data!A185</f>
        <v>49</v>
      </c>
      <c r="B185" s="2">
        <f ca="1">Data!B185</f>
        <v>4</v>
      </c>
      <c r="C185" s="2" t="str">
        <f t="shared" ca="1" si="2"/>
        <v>NO</v>
      </c>
    </row>
    <row r="186" spans="1:3" x14ac:dyDescent="0.3">
      <c r="A186" s="2">
        <f ca="1">Data!A186</f>
        <v>60</v>
      </c>
      <c r="B186" s="2">
        <f ca="1">Data!B186</f>
        <v>3</v>
      </c>
      <c r="C186" s="2" t="str">
        <f t="shared" ca="1" si="2"/>
        <v>NO</v>
      </c>
    </row>
    <row r="187" spans="1:3" x14ac:dyDescent="0.3">
      <c r="A187" s="2">
        <f ca="1">Data!A187</f>
        <v>57</v>
      </c>
      <c r="B187" s="2">
        <f ca="1">Data!B187</f>
        <v>3</v>
      </c>
      <c r="C187" s="2" t="str">
        <f t="shared" ca="1" si="2"/>
        <v>NO</v>
      </c>
    </row>
    <row r="188" spans="1:3" x14ac:dyDescent="0.3">
      <c r="A188" s="2">
        <f ca="1">Data!A188</f>
        <v>44</v>
      </c>
      <c r="B188" s="2">
        <f ca="1">Data!B188</f>
        <v>1</v>
      </c>
      <c r="C188" s="2" t="str">
        <f t="shared" ca="1" si="2"/>
        <v>YES</v>
      </c>
    </row>
    <row r="189" spans="1:3" x14ac:dyDescent="0.3">
      <c r="A189" s="2">
        <f ca="1">Data!A189</f>
        <v>57</v>
      </c>
      <c r="B189" s="2">
        <f ca="1">Data!B189</f>
        <v>2</v>
      </c>
      <c r="C189" s="2" t="str">
        <f t="shared" ca="1" si="2"/>
        <v>NO</v>
      </c>
    </row>
    <row r="190" spans="1:3" x14ac:dyDescent="0.3">
      <c r="A190" s="2">
        <f ca="1">Data!A190</f>
        <v>26</v>
      </c>
      <c r="B190" s="2">
        <f ca="1">Data!B190</f>
        <v>4</v>
      </c>
      <c r="C190" s="2" t="str">
        <f t="shared" ca="1" si="2"/>
        <v>NO</v>
      </c>
    </row>
    <row r="191" spans="1:3" x14ac:dyDescent="0.3">
      <c r="A191" s="2">
        <f ca="1">Data!A191</f>
        <v>80</v>
      </c>
      <c r="B191" s="2">
        <f ca="1">Data!B191</f>
        <v>3</v>
      </c>
      <c r="C191" s="2" t="str">
        <f t="shared" ca="1" si="2"/>
        <v>NO</v>
      </c>
    </row>
    <row r="192" spans="1:3" x14ac:dyDescent="0.3">
      <c r="A192" s="2">
        <f ca="1">Data!A192</f>
        <v>36</v>
      </c>
      <c r="B192" s="2">
        <f ca="1">Data!B192</f>
        <v>2</v>
      </c>
      <c r="C192" s="2" t="str">
        <f t="shared" ca="1" si="2"/>
        <v>NO</v>
      </c>
    </row>
    <row r="193" spans="1:3" x14ac:dyDescent="0.3">
      <c r="A193" s="2">
        <f ca="1">Data!A193</f>
        <v>58</v>
      </c>
      <c r="B193" s="2">
        <f ca="1">Data!B193</f>
        <v>1</v>
      </c>
      <c r="C193" s="2" t="str">
        <f t="shared" ca="1" si="2"/>
        <v>YES</v>
      </c>
    </row>
    <row r="194" spans="1:3" x14ac:dyDescent="0.3">
      <c r="A194" s="2">
        <f ca="1">Data!A194</f>
        <v>76</v>
      </c>
      <c r="B194" s="2">
        <f ca="1">Data!B194</f>
        <v>1</v>
      </c>
      <c r="C194" s="2" t="str">
        <f t="shared" ca="1" si="2"/>
        <v>YES</v>
      </c>
    </row>
    <row r="195" spans="1:3" x14ac:dyDescent="0.3">
      <c r="A195" s="2">
        <f ca="1">Data!A195</f>
        <v>56</v>
      </c>
      <c r="B195" s="2">
        <f ca="1">Data!B195</f>
        <v>1</v>
      </c>
      <c r="C195" s="2" t="str">
        <f t="shared" ref="C195:C251" ca="1" si="3">IF(B195=1,"YES","NO")</f>
        <v>YES</v>
      </c>
    </row>
    <row r="196" spans="1:3" x14ac:dyDescent="0.3">
      <c r="A196" s="2">
        <f ca="1">Data!A196</f>
        <v>46</v>
      </c>
      <c r="B196" s="2">
        <f ca="1">Data!B196</f>
        <v>1</v>
      </c>
      <c r="C196" s="2" t="str">
        <f t="shared" ca="1" si="3"/>
        <v>YES</v>
      </c>
    </row>
    <row r="197" spans="1:3" x14ac:dyDescent="0.3">
      <c r="A197" s="2">
        <f ca="1">Data!A197</f>
        <v>50</v>
      </c>
      <c r="B197" s="2">
        <f ca="1">Data!B197</f>
        <v>2</v>
      </c>
      <c r="C197" s="2" t="str">
        <f t="shared" ca="1" si="3"/>
        <v>NO</v>
      </c>
    </row>
    <row r="198" spans="1:3" x14ac:dyDescent="0.3">
      <c r="A198" s="2">
        <f ca="1">Data!A198</f>
        <v>32</v>
      </c>
      <c r="B198" s="2">
        <f ca="1">Data!B198</f>
        <v>2</v>
      </c>
      <c r="C198" s="2" t="str">
        <f t="shared" ca="1" si="3"/>
        <v>NO</v>
      </c>
    </row>
    <row r="199" spans="1:3" x14ac:dyDescent="0.3">
      <c r="A199" s="2">
        <f ca="1">Data!A199</f>
        <v>18</v>
      </c>
      <c r="B199" s="2">
        <f ca="1">Data!B199</f>
        <v>1</v>
      </c>
      <c r="C199" s="2" t="str">
        <f t="shared" ca="1" si="3"/>
        <v>YES</v>
      </c>
    </row>
    <row r="200" spans="1:3" x14ac:dyDescent="0.3">
      <c r="A200" s="2">
        <f ca="1">Data!A200</f>
        <v>66</v>
      </c>
      <c r="B200" s="2">
        <f ca="1">Data!B200</f>
        <v>1</v>
      </c>
      <c r="C200" s="2" t="str">
        <f t="shared" ca="1" si="3"/>
        <v>YES</v>
      </c>
    </row>
    <row r="201" spans="1:3" x14ac:dyDescent="0.3">
      <c r="A201" s="2">
        <f ca="1">Data!A201</f>
        <v>43</v>
      </c>
      <c r="B201" s="2">
        <f ca="1">Data!B201</f>
        <v>1</v>
      </c>
      <c r="C201" s="2" t="str">
        <f t="shared" ca="1" si="3"/>
        <v>YES</v>
      </c>
    </row>
    <row r="202" spans="1:3" x14ac:dyDescent="0.3">
      <c r="A202" s="2">
        <f ca="1">Data!A202</f>
        <v>54</v>
      </c>
      <c r="B202" s="2">
        <f ca="1">Data!B202</f>
        <v>1</v>
      </c>
      <c r="C202" s="2" t="str">
        <f t="shared" ca="1" si="3"/>
        <v>YES</v>
      </c>
    </row>
    <row r="203" spans="1:3" x14ac:dyDescent="0.3">
      <c r="A203" s="2">
        <f ca="1">Data!A203</f>
        <v>51</v>
      </c>
      <c r="B203" s="2">
        <f ca="1">Data!B203</f>
        <v>1</v>
      </c>
      <c r="C203" s="2" t="str">
        <f t="shared" ca="1" si="3"/>
        <v>YES</v>
      </c>
    </row>
    <row r="204" spans="1:3" x14ac:dyDescent="0.3">
      <c r="A204" s="2">
        <f ca="1">Data!A204</f>
        <v>70</v>
      </c>
      <c r="B204" s="2">
        <f ca="1">Data!B204</f>
        <v>1</v>
      </c>
      <c r="C204" s="2" t="str">
        <f t="shared" ca="1" si="3"/>
        <v>YES</v>
      </c>
    </row>
    <row r="205" spans="1:3" x14ac:dyDescent="0.3">
      <c r="A205" s="2">
        <f ca="1">Data!A205</f>
        <v>59</v>
      </c>
      <c r="B205" s="2">
        <f ca="1">Data!B205</f>
        <v>2</v>
      </c>
      <c r="C205" s="2" t="str">
        <f t="shared" ca="1" si="3"/>
        <v>NO</v>
      </c>
    </row>
    <row r="206" spans="1:3" x14ac:dyDescent="0.3">
      <c r="A206" s="2">
        <f ca="1">Data!A206</f>
        <v>46</v>
      </c>
      <c r="B206" s="2">
        <f ca="1">Data!B206</f>
        <v>2</v>
      </c>
      <c r="C206" s="2" t="str">
        <f t="shared" ca="1" si="3"/>
        <v>NO</v>
      </c>
    </row>
    <row r="207" spans="1:3" x14ac:dyDescent="0.3">
      <c r="A207" s="2">
        <f ca="1">Data!A207</f>
        <v>27</v>
      </c>
      <c r="B207" s="2">
        <f ca="1">Data!B207</f>
        <v>4</v>
      </c>
      <c r="C207" s="2" t="str">
        <f t="shared" ca="1" si="3"/>
        <v>NO</v>
      </c>
    </row>
    <row r="208" spans="1:3" x14ac:dyDescent="0.3">
      <c r="A208" s="2">
        <f ca="1">Data!A208</f>
        <v>56</v>
      </c>
      <c r="B208" s="2">
        <f ca="1">Data!B208</f>
        <v>4</v>
      </c>
      <c r="C208" s="2" t="str">
        <f t="shared" ca="1" si="3"/>
        <v>NO</v>
      </c>
    </row>
    <row r="209" spans="1:3" x14ac:dyDescent="0.3">
      <c r="A209" s="2">
        <f ca="1">Data!A209</f>
        <v>67</v>
      </c>
      <c r="B209" s="2">
        <f ca="1">Data!B209</f>
        <v>2</v>
      </c>
      <c r="C209" s="2" t="str">
        <f t="shared" ca="1" si="3"/>
        <v>NO</v>
      </c>
    </row>
    <row r="210" spans="1:3" x14ac:dyDescent="0.3">
      <c r="A210" s="2">
        <f ca="1">Data!A210</f>
        <v>56</v>
      </c>
      <c r="B210" s="2">
        <f ca="1">Data!B210</f>
        <v>2</v>
      </c>
      <c r="C210" s="2" t="str">
        <f t="shared" ca="1" si="3"/>
        <v>NO</v>
      </c>
    </row>
    <row r="211" spans="1:3" x14ac:dyDescent="0.3">
      <c r="A211" s="2">
        <f ca="1">Data!A211</f>
        <v>60</v>
      </c>
      <c r="B211" s="2">
        <f ca="1">Data!B211</f>
        <v>3</v>
      </c>
      <c r="C211" s="2" t="str">
        <f t="shared" ca="1" si="3"/>
        <v>NO</v>
      </c>
    </row>
    <row r="212" spans="1:3" x14ac:dyDescent="0.3">
      <c r="A212" s="2">
        <f ca="1">Data!A212</f>
        <v>75</v>
      </c>
      <c r="B212" s="2">
        <f ca="1">Data!B212</f>
        <v>2</v>
      </c>
      <c r="C212" s="2" t="str">
        <f t="shared" ca="1" si="3"/>
        <v>NO</v>
      </c>
    </row>
    <row r="213" spans="1:3" x14ac:dyDescent="0.3">
      <c r="A213" s="2">
        <f ca="1">Data!A213</f>
        <v>53</v>
      </c>
      <c r="B213" s="2">
        <f ca="1">Data!B213</f>
        <v>3</v>
      </c>
      <c r="C213" s="2" t="str">
        <f t="shared" ca="1" si="3"/>
        <v>NO</v>
      </c>
    </row>
    <row r="214" spans="1:3" x14ac:dyDescent="0.3">
      <c r="A214" s="2">
        <f ca="1">Data!A214</f>
        <v>91</v>
      </c>
      <c r="B214" s="2">
        <f ca="1">Data!B214</f>
        <v>3</v>
      </c>
      <c r="C214" s="2" t="str">
        <f t="shared" ca="1" si="3"/>
        <v>NO</v>
      </c>
    </row>
    <row r="215" spans="1:3" x14ac:dyDescent="0.3">
      <c r="A215" s="2">
        <f ca="1">Data!A215</f>
        <v>63</v>
      </c>
      <c r="B215" s="2">
        <f ca="1">Data!B215</f>
        <v>3</v>
      </c>
      <c r="C215" s="2" t="str">
        <f t="shared" ca="1" si="3"/>
        <v>NO</v>
      </c>
    </row>
    <row r="216" spans="1:3" x14ac:dyDescent="0.3">
      <c r="A216" s="2">
        <f ca="1">Data!A216</f>
        <v>62</v>
      </c>
      <c r="B216" s="2">
        <f ca="1">Data!B216</f>
        <v>4</v>
      </c>
      <c r="C216" s="2" t="str">
        <f t="shared" ca="1" si="3"/>
        <v>NO</v>
      </c>
    </row>
    <row r="217" spans="1:3" x14ac:dyDescent="0.3">
      <c r="A217" s="2">
        <f ca="1">Data!A217</f>
        <v>71</v>
      </c>
      <c r="B217" s="2">
        <f ca="1">Data!B217</f>
        <v>3</v>
      </c>
      <c r="C217" s="2" t="str">
        <f t="shared" ca="1" si="3"/>
        <v>NO</v>
      </c>
    </row>
    <row r="218" spans="1:3" x14ac:dyDescent="0.3">
      <c r="A218" s="2">
        <f ca="1">Data!A218</f>
        <v>41</v>
      </c>
      <c r="B218" s="2">
        <f ca="1">Data!B218</f>
        <v>1</v>
      </c>
      <c r="C218" s="2" t="str">
        <f t="shared" ca="1" si="3"/>
        <v>YES</v>
      </c>
    </row>
    <row r="219" spans="1:3" x14ac:dyDescent="0.3">
      <c r="A219" s="2">
        <f ca="1">Data!A219</f>
        <v>81</v>
      </c>
      <c r="B219" s="2">
        <f ca="1">Data!B219</f>
        <v>4</v>
      </c>
      <c r="C219" s="2" t="str">
        <f t="shared" ca="1" si="3"/>
        <v>NO</v>
      </c>
    </row>
    <row r="220" spans="1:3" x14ac:dyDescent="0.3">
      <c r="A220" s="2">
        <f ca="1">Data!A220</f>
        <v>41</v>
      </c>
      <c r="B220" s="2">
        <f ca="1">Data!B220</f>
        <v>3</v>
      </c>
      <c r="C220" s="2" t="str">
        <f t="shared" ca="1" si="3"/>
        <v>NO</v>
      </c>
    </row>
    <row r="221" spans="1:3" x14ac:dyDescent="0.3">
      <c r="A221" s="2">
        <f ca="1">Data!A221</f>
        <v>59</v>
      </c>
      <c r="B221" s="2">
        <f ca="1">Data!B221</f>
        <v>3</v>
      </c>
      <c r="C221" s="2" t="str">
        <f t="shared" ca="1" si="3"/>
        <v>NO</v>
      </c>
    </row>
    <row r="222" spans="1:3" x14ac:dyDescent="0.3">
      <c r="A222" s="2">
        <f ca="1">Data!A222</f>
        <v>55</v>
      </c>
      <c r="B222" s="2">
        <f ca="1">Data!B222</f>
        <v>3</v>
      </c>
      <c r="C222" s="2" t="str">
        <f t="shared" ca="1" si="3"/>
        <v>NO</v>
      </c>
    </row>
    <row r="223" spans="1:3" x14ac:dyDescent="0.3">
      <c r="A223" s="2">
        <f ca="1">Data!A223</f>
        <v>36</v>
      </c>
      <c r="B223" s="2">
        <f ca="1">Data!B223</f>
        <v>4</v>
      </c>
      <c r="C223" s="2" t="str">
        <f t="shared" ca="1" si="3"/>
        <v>NO</v>
      </c>
    </row>
    <row r="224" spans="1:3" x14ac:dyDescent="0.3">
      <c r="A224" s="2">
        <f ca="1">Data!A224</f>
        <v>42</v>
      </c>
      <c r="B224" s="2">
        <f ca="1">Data!B224</f>
        <v>4</v>
      </c>
      <c r="C224" s="2" t="str">
        <f t="shared" ca="1" si="3"/>
        <v>NO</v>
      </c>
    </row>
    <row r="225" spans="1:3" x14ac:dyDescent="0.3">
      <c r="A225" s="2">
        <f ca="1">Data!A225</f>
        <v>71</v>
      </c>
      <c r="B225" s="2">
        <f ca="1">Data!B225</f>
        <v>1</v>
      </c>
      <c r="C225" s="2" t="str">
        <f t="shared" ca="1" si="3"/>
        <v>YES</v>
      </c>
    </row>
    <row r="226" spans="1:3" x14ac:dyDescent="0.3">
      <c r="A226" s="2">
        <f ca="1">Data!A226</f>
        <v>83</v>
      </c>
      <c r="B226" s="2">
        <f ca="1">Data!B226</f>
        <v>2</v>
      </c>
      <c r="C226" s="2" t="str">
        <f t="shared" ca="1" si="3"/>
        <v>NO</v>
      </c>
    </row>
    <row r="227" spans="1:3" x14ac:dyDescent="0.3">
      <c r="A227" s="2">
        <f ca="1">Data!A227</f>
        <v>57</v>
      </c>
      <c r="B227" s="2">
        <f ca="1">Data!B227</f>
        <v>3</v>
      </c>
      <c r="C227" s="2" t="str">
        <f t="shared" ca="1" si="3"/>
        <v>NO</v>
      </c>
    </row>
    <row r="228" spans="1:3" x14ac:dyDescent="0.3">
      <c r="A228" s="2">
        <f ca="1">Data!A228</f>
        <v>56</v>
      </c>
      <c r="B228" s="2">
        <f ca="1">Data!B228</f>
        <v>1</v>
      </c>
      <c r="C228" s="2" t="str">
        <f t="shared" ca="1" si="3"/>
        <v>YES</v>
      </c>
    </row>
    <row r="229" spans="1:3" x14ac:dyDescent="0.3">
      <c r="A229" s="2">
        <f ca="1">Data!A229</f>
        <v>56</v>
      </c>
      <c r="B229" s="2">
        <f ca="1">Data!B229</f>
        <v>1</v>
      </c>
      <c r="C229" s="2" t="str">
        <f t="shared" ca="1" si="3"/>
        <v>YES</v>
      </c>
    </row>
    <row r="230" spans="1:3" x14ac:dyDescent="0.3">
      <c r="A230" s="2">
        <f ca="1">Data!A230</f>
        <v>37</v>
      </c>
      <c r="B230" s="2">
        <f ca="1">Data!B230</f>
        <v>3</v>
      </c>
      <c r="C230" s="2" t="str">
        <f t="shared" ca="1" si="3"/>
        <v>NO</v>
      </c>
    </row>
    <row r="231" spans="1:3" x14ac:dyDescent="0.3">
      <c r="A231" s="2">
        <f ca="1">Data!A231</f>
        <v>49</v>
      </c>
      <c r="B231" s="2">
        <f ca="1">Data!B231</f>
        <v>1</v>
      </c>
      <c r="C231" s="2" t="str">
        <f t="shared" ca="1" si="3"/>
        <v>YES</v>
      </c>
    </row>
    <row r="232" spans="1:3" x14ac:dyDescent="0.3">
      <c r="A232" s="2">
        <f ca="1">Data!A232</f>
        <v>50</v>
      </c>
      <c r="B232" s="2">
        <f ca="1">Data!B232</f>
        <v>3</v>
      </c>
      <c r="C232" s="2" t="str">
        <f t="shared" ca="1" si="3"/>
        <v>NO</v>
      </c>
    </row>
    <row r="233" spans="1:3" x14ac:dyDescent="0.3">
      <c r="A233" s="2">
        <f ca="1">Data!A233</f>
        <v>84</v>
      </c>
      <c r="B233" s="2">
        <f ca="1">Data!B233</f>
        <v>3</v>
      </c>
      <c r="C233" s="2" t="str">
        <f t="shared" ca="1" si="3"/>
        <v>NO</v>
      </c>
    </row>
    <row r="234" spans="1:3" x14ac:dyDescent="0.3">
      <c r="A234" s="2">
        <f ca="1">Data!A234</f>
        <v>88</v>
      </c>
      <c r="B234" s="2">
        <f ca="1">Data!B234</f>
        <v>4</v>
      </c>
      <c r="C234" s="2" t="str">
        <f t="shared" ca="1" si="3"/>
        <v>NO</v>
      </c>
    </row>
    <row r="235" spans="1:3" x14ac:dyDescent="0.3">
      <c r="A235" s="2">
        <f ca="1">Data!A235</f>
        <v>41</v>
      </c>
      <c r="B235" s="2">
        <f ca="1">Data!B235</f>
        <v>2</v>
      </c>
      <c r="C235" s="2" t="str">
        <f t="shared" ca="1" si="3"/>
        <v>NO</v>
      </c>
    </row>
    <row r="236" spans="1:3" x14ac:dyDescent="0.3">
      <c r="A236" s="2">
        <f ca="1">Data!A236</f>
        <v>48</v>
      </c>
      <c r="B236" s="2">
        <f ca="1">Data!B236</f>
        <v>4</v>
      </c>
      <c r="C236" s="2" t="str">
        <f t="shared" ca="1" si="3"/>
        <v>NO</v>
      </c>
    </row>
    <row r="237" spans="1:3" x14ac:dyDescent="0.3">
      <c r="A237" s="2">
        <f ca="1">Data!A237</f>
        <v>65</v>
      </c>
      <c r="B237" s="2">
        <f ca="1">Data!B237</f>
        <v>1</v>
      </c>
      <c r="C237" s="2" t="str">
        <f t="shared" ca="1" si="3"/>
        <v>YES</v>
      </c>
    </row>
    <row r="238" spans="1:3" x14ac:dyDescent="0.3">
      <c r="A238" s="2">
        <f ca="1">Data!A238</f>
        <v>64</v>
      </c>
      <c r="B238" s="2">
        <f ca="1">Data!B238</f>
        <v>3</v>
      </c>
      <c r="C238" s="2" t="str">
        <f t="shared" ca="1" si="3"/>
        <v>NO</v>
      </c>
    </row>
    <row r="239" spans="1:3" x14ac:dyDescent="0.3">
      <c r="A239" s="2">
        <f ca="1">Data!A239</f>
        <v>25</v>
      </c>
      <c r="B239" s="2">
        <f ca="1">Data!B239</f>
        <v>4</v>
      </c>
      <c r="C239" s="2" t="str">
        <f t="shared" ca="1" si="3"/>
        <v>NO</v>
      </c>
    </row>
    <row r="240" spans="1:3" x14ac:dyDescent="0.3">
      <c r="A240" s="2">
        <f ca="1">Data!A240</f>
        <v>55</v>
      </c>
      <c r="B240" s="2">
        <f ca="1">Data!B240</f>
        <v>4</v>
      </c>
      <c r="C240" s="2" t="str">
        <f t="shared" ca="1" si="3"/>
        <v>NO</v>
      </c>
    </row>
    <row r="241" spans="1:3" x14ac:dyDescent="0.3">
      <c r="A241" s="2">
        <f ca="1">Data!A241</f>
        <v>55</v>
      </c>
      <c r="B241" s="2">
        <f ca="1">Data!B241</f>
        <v>3</v>
      </c>
      <c r="C241" s="2" t="str">
        <f t="shared" ca="1" si="3"/>
        <v>NO</v>
      </c>
    </row>
    <row r="242" spans="1:3" x14ac:dyDescent="0.3">
      <c r="A242" s="2">
        <f ca="1">Data!A242</f>
        <v>56</v>
      </c>
      <c r="B242" s="2">
        <f ca="1">Data!B242</f>
        <v>2</v>
      </c>
      <c r="C242" s="2" t="str">
        <f t="shared" ca="1" si="3"/>
        <v>NO</v>
      </c>
    </row>
    <row r="243" spans="1:3" x14ac:dyDescent="0.3">
      <c r="A243" s="2">
        <f ca="1">Data!A243</f>
        <v>57</v>
      </c>
      <c r="B243" s="2">
        <f ca="1">Data!B243</f>
        <v>3</v>
      </c>
      <c r="C243" s="2" t="str">
        <f t="shared" ca="1" si="3"/>
        <v>NO</v>
      </c>
    </row>
    <row r="244" spans="1:3" x14ac:dyDescent="0.3">
      <c r="A244" s="2">
        <f ca="1">Data!A244</f>
        <v>49</v>
      </c>
      <c r="B244" s="2">
        <f ca="1">Data!B244</f>
        <v>1</v>
      </c>
      <c r="C244" s="2" t="str">
        <f t="shared" ca="1" si="3"/>
        <v>YES</v>
      </c>
    </row>
    <row r="245" spans="1:3" x14ac:dyDescent="0.3">
      <c r="A245" s="2">
        <f ca="1">Data!A245</f>
        <v>62</v>
      </c>
      <c r="B245" s="2">
        <f ca="1">Data!B245</f>
        <v>4</v>
      </c>
      <c r="C245" s="2" t="str">
        <f t="shared" ca="1" si="3"/>
        <v>NO</v>
      </c>
    </row>
    <row r="246" spans="1:3" x14ac:dyDescent="0.3">
      <c r="A246" s="2">
        <f ca="1">Data!A246</f>
        <v>64</v>
      </c>
      <c r="B246" s="2">
        <f ca="1">Data!B246</f>
        <v>1</v>
      </c>
      <c r="C246" s="2" t="str">
        <f t="shared" ca="1" si="3"/>
        <v>YES</v>
      </c>
    </row>
    <row r="247" spans="1:3" x14ac:dyDescent="0.3">
      <c r="A247" s="2">
        <f ca="1">Data!A247</f>
        <v>58</v>
      </c>
      <c r="B247" s="2">
        <f ca="1">Data!B247</f>
        <v>2</v>
      </c>
      <c r="C247" s="2" t="str">
        <f t="shared" ca="1" si="3"/>
        <v>NO</v>
      </c>
    </row>
    <row r="248" spans="1:3" x14ac:dyDescent="0.3">
      <c r="A248" s="2">
        <f ca="1">Data!A248</f>
        <v>57</v>
      </c>
      <c r="B248" s="2">
        <f ca="1">Data!B248</f>
        <v>1</v>
      </c>
      <c r="C248" s="2" t="str">
        <f t="shared" ca="1" si="3"/>
        <v>YES</v>
      </c>
    </row>
    <row r="249" spans="1:3" x14ac:dyDescent="0.3">
      <c r="A249" s="2">
        <f ca="1">Data!A249</f>
        <v>46</v>
      </c>
      <c r="B249" s="2">
        <f ca="1">Data!B249</f>
        <v>2</v>
      </c>
      <c r="C249" s="2" t="str">
        <f t="shared" ca="1" si="3"/>
        <v>NO</v>
      </c>
    </row>
    <row r="250" spans="1:3" x14ac:dyDescent="0.3">
      <c r="A250" s="2">
        <f ca="1">Data!A250</f>
        <v>64</v>
      </c>
      <c r="B250" s="2">
        <f ca="1">Data!B250</f>
        <v>1</v>
      </c>
      <c r="C250" s="2" t="str">
        <f t="shared" ca="1" si="3"/>
        <v>YES</v>
      </c>
    </row>
    <row r="251" spans="1:3" x14ac:dyDescent="0.3">
      <c r="A251" s="2">
        <f ca="1">Data!A251</f>
        <v>32</v>
      </c>
      <c r="B251" s="2">
        <f ca="1">Data!B251</f>
        <v>1</v>
      </c>
      <c r="C251" s="2" t="str">
        <f t="shared" ca="1" si="3"/>
        <v>YES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5C0D-F863-40D9-A799-5EE98800C24D}">
  <sheetPr>
    <tabColor theme="6" tint="0.79998168889431442"/>
  </sheetPr>
  <dimension ref="A1:H65"/>
  <sheetViews>
    <sheetView showGridLines="0" topLeftCell="C1" workbookViewId="0">
      <selection activeCell="G2" sqref="G2"/>
    </sheetView>
  </sheetViews>
  <sheetFormatPr defaultRowHeight="14.4" x14ac:dyDescent="0.3"/>
  <cols>
    <col min="2" max="2" width="10" bestFit="1" customWidth="1"/>
    <col min="3" max="3" width="20.21875" bestFit="1" customWidth="1"/>
    <col min="4" max="4" width="9.109375" bestFit="1" customWidth="1"/>
    <col min="5" max="5" width="23.33203125" bestFit="1" customWidth="1"/>
    <col min="6" max="6" width="28.33203125" bestFit="1" customWidth="1"/>
    <col min="7" max="7" width="22.44140625" bestFit="1" customWidth="1"/>
    <col min="8" max="8" width="7.44140625" bestFit="1" customWidth="1"/>
  </cols>
  <sheetData>
    <row r="1" spans="1:8" ht="19.8" thickTop="1" thickBot="1" x14ac:dyDescent="0.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5" thickTop="1" x14ac:dyDescent="0.3">
      <c r="A2" s="2">
        <v>48</v>
      </c>
      <c r="B2" s="2">
        <f ca="1">ROUND(SQRT(_xlfn.VAR.S(Data!A2:A251)),2)</f>
        <v>15.59</v>
      </c>
      <c r="C2" s="2">
        <f ca="1">AVERAGE(Data!A2:A251)</f>
        <v>51.811999999999998</v>
      </c>
      <c r="D2" s="2">
        <f>COUNT(A2:A65)</f>
        <v>64</v>
      </c>
      <c r="E2" s="2">
        <v>0.95</v>
      </c>
      <c r="F2" s="2">
        <f ca="1">ROUND(2*MIN(_xlfn.Z.TEST(A2:A65,C2),1-_xlfn.Z.TEST(A2:A65,C2)),3)</f>
        <v>0.39</v>
      </c>
      <c r="G2" s="2" t="str">
        <f ca="1">"[" &amp; ROUND(C2 - 1.96 * (B2 / SQRT(D2)), 2) &amp; " - " &amp; ROUND(C2 + 1.96 * (B2 / SQRT(D2)), 2) &amp; "]"</f>
        <v>[47,99 - 55,63]</v>
      </c>
      <c r="H2" s="3">
        <f ca="1">(AVERAGE(A2:A65)-'Statistical Insight'!C2)/('Statistical Insight'!B2/SQRT('Statistical Insight'!D2))</f>
        <v>0.93033996151379217</v>
      </c>
    </row>
    <row r="3" spans="1:8" ht="15" thickBot="1" x14ac:dyDescent="0.35">
      <c r="A3" s="2">
        <v>31</v>
      </c>
    </row>
    <row r="4" spans="1:8" ht="14.4" customHeight="1" x14ac:dyDescent="0.3">
      <c r="A4" s="2">
        <v>73</v>
      </c>
      <c r="C4" s="8" t="s">
        <v>24</v>
      </c>
      <c r="D4" s="9"/>
      <c r="E4" s="9"/>
      <c r="F4" s="9"/>
      <c r="G4" s="10"/>
    </row>
    <row r="5" spans="1:8" ht="14.4" customHeight="1" x14ac:dyDescent="0.3">
      <c r="A5" s="2">
        <v>31</v>
      </c>
      <c r="C5" s="11"/>
      <c r="D5" s="12"/>
      <c r="E5" s="12"/>
      <c r="F5" s="12"/>
      <c r="G5" s="13"/>
    </row>
    <row r="6" spans="1:8" ht="14.4" customHeight="1" x14ac:dyDescent="0.3">
      <c r="A6" s="2">
        <v>55</v>
      </c>
      <c r="C6" s="11"/>
      <c r="D6" s="12"/>
      <c r="E6" s="12"/>
      <c r="F6" s="12"/>
      <c r="G6" s="13"/>
    </row>
    <row r="7" spans="1:8" ht="14.4" customHeight="1" x14ac:dyDescent="0.3">
      <c r="A7" s="2">
        <v>36</v>
      </c>
      <c r="C7" s="11"/>
      <c r="D7" s="12"/>
      <c r="E7" s="12"/>
      <c r="F7" s="12"/>
      <c r="G7" s="13"/>
    </row>
    <row r="8" spans="1:8" ht="14.4" customHeight="1" x14ac:dyDescent="0.3">
      <c r="A8" s="2">
        <v>30</v>
      </c>
      <c r="C8" s="11"/>
      <c r="D8" s="12"/>
      <c r="E8" s="12"/>
      <c r="F8" s="12"/>
      <c r="G8" s="13"/>
    </row>
    <row r="9" spans="1:8" ht="14.4" customHeight="1" x14ac:dyDescent="0.3">
      <c r="A9" s="2">
        <v>31</v>
      </c>
      <c r="C9" s="11"/>
      <c r="D9" s="12"/>
      <c r="E9" s="12"/>
      <c r="F9" s="12"/>
      <c r="G9" s="13"/>
    </row>
    <row r="10" spans="1:8" ht="14.4" customHeight="1" x14ac:dyDescent="0.3">
      <c r="A10" s="2">
        <v>34</v>
      </c>
      <c r="C10" s="11"/>
      <c r="D10" s="12"/>
      <c r="E10" s="12"/>
      <c r="F10" s="12"/>
      <c r="G10" s="13"/>
    </row>
    <row r="11" spans="1:8" ht="14.4" customHeight="1" thickBot="1" x14ac:dyDescent="0.35">
      <c r="A11" s="2">
        <v>42</v>
      </c>
      <c r="C11" s="14"/>
      <c r="D11" s="15"/>
      <c r="E11" s="15"/>
      <c r="F11" s="15"/>
      <c r="G11" s="16"/>
    </row>
    <row r="12" spans="1:8" ht="14.4" customHeight="1" x14ac:dyDescent="0.3">
      <c r="A12" s="2">
        <v>43</v>
      </c>
    </row>
    <row r="13" spans="1:8" ht="14.4" customHeight="1" x14ac:dyDescent="0.3">
      <c r="A13" s="2">
        <v>19</v>
      </c>
    </row>
    <row r="14" spans="1:8" ht="14.4" customHeight="1" x14ac:dyDescent="0.3">
      <c r="A14" s="2">
        <v>57</v>
      </c>
    </row>
    <row r="15" spans="1:8" ht="15" customHeight="1" x14ac:dyDescent="0.3">
      <c r="A15" s="2">
        <v>48</v>
      </c>
    </row>
    <row r="16" spans="1:8" x14ac:dyDescent="0.3">
      <c r="A16" s="2">
        <v>55</v>
      </c>
      <c r="F16" s="25"/>
    </row>
    <row r="17" spans="1:1" x14ac:dyDescent="0.3">
      <c r="A17" s="2">
        <v>87</v>
      </c>
    </row>
    <row r="18" spans="1:1" x14ac:dyDescent="0.3">
      <c r="A18" s="2">
        <v>55</v>
      </c>
    </row>
    <row r="19" spans="1:1" x14ac:dyDescent="0.3">
      <c r="A19" s="2">
        <v>37</v>
      </c>
    </row>
    <row r="20" spans="1:1" x14ac:dyDescent="0.3">
      <c r="A20" s="2">
        <v>49</v>
      </c>
    </row>
    <row r="21" spans="1:1" x14ac:dyDescent="0.3">
      <c r="A21" s="2">
        <v>55</v>
      </c>
    </row>
    <row r="22" spans="1:1" x14ac:dyDescent="0.3">
      <c r="A22" s="2">
        <v>73</v>
      </c>
    </row>
    <row r="23" spans="1:1" x14ac:dyDescent="0.3">
      <c r="A23" s="2">
        <v>50</v>
      </c>
    </row>
    <row r="24" spans="1:1" x14ac:dyDescent="0.3">
      <c r="A24" s="2">
        <v>38</v>
      </c>
    </row>
    <row r="25" spans="1:1" x14ac:dyDescent="0.3">
      <c r="A25" s="2">
        <v>23</v>
      </c>
    </row>
    <row r="26" spans="1:1" x14ac:dyDescent="0.3">
      <c r="A26" s="2">
        <v>60</v>
      </c>
    </row>
    <row r="27" spans="1:1" x14ac:dyDescent="0.3">
      <c r="A27" s="2">
        <v>48</v>
      </c>
    </row>
    <row r="28" spans="1:1" x14ac:dyDescent="0.3">
      <c r="A28" s="2">
        <v>72</v>
      </c>
    </row>
    <row r="29" spans="1:1" x14ac:dyDescent="0.3">
      <c r="A29" s="2">
        <v>76</v>
      </c>
    </row>
    <row r="30" spans="1:1" x14ac:dyDescent="0.3">
      <c r="A30" s="2">
        <v>67</v>
      </c>
    </row>
    <row r="31" spans="1:1" x14ac:dyDescent="0.3">
      <c r="A31" s="2">
        <v>66</v>
      </c>
    </row>
    <row r="32" spans="1:1" x14ac:dyDescent="0.3">
      <c r="A32" s="2">
        <v>47</v>
      </c>
    </row>
    <row r="33" spans="1:1" x14ac:dyDescent="0.3">
      <c r="A33" s="2">
        <v>61</v>
      </c>
    </row>
    <row r="34" spans="1:1" x14ac:dyDescent="0.3">
      <c r="A34" s="2">
        <v>44</v>
      </c>
    </row>
    <row r="35" spans="1:1" x14ac:dyDescent="0.3">
      <c r="A35" s="2">
        <v>78</v>
      </c>
    </row>
    <row r="36" spans="1:1" x14ac:dyDescent="0.3">
      <c r="A36" s="2">
        <v>45</v>
      </c>
    </row>
    <row r="37" spans="1:1" x14ac:dyDescent="0.3">
      <c r="A37" s="2">
        <v>62</v>
      </c>
    </row>
    <row r="38" spans="1:1" x14ac:dyDescent="0.3">
      <c r="A38" s="2">
        <v>71</v>
      </c>
    </row>
    <row r="39" spans="1:1" x14ac:dyDescent="0.3">
      <c r="A39" s="2">
        <v>44</v>
      </c>
    </row>
    <row r="40" spans="1:1" x14ac:dyDescent="0.3">
      <c r="A40" s="2">
        <v>86</v>
      </c>
    </row>
    <row r="41" spans="1:1" x14ac:dyDescent="0.3">
      <c r="A41" s="2">
        <v>59</v>
      </c>
    </row>
    <row r="42" spans="1:1" x14ac:dyDescent="0.3">
      <c r="A42" s="2">
        <v>59</v>
      </c>
    </row>
    <row r="43" spans="1:1" x14ac:dyDescent="0.3">
      <c r="A43" s="2">
        <v>41</v>
      </c>
    </row>
    <row r="44" spans="1:1" x14ac:dyDescent="0.3">
      <c r="A44" s="2">
        <v>39</v>
      </c>
    </row>
    <row r="45" spans="1:1" x14ac:dyDescent="0.3">
      <c r="A45" s="2">
        <v>61</v>
      </c>
    </row>
    <row r="46" spans="1:1" x14ac:dyDescent="0.3">
      <c r="A46" s="2">
        <v>58</v>
      </c>
    </row>
    <row r="47" spans="1:1" x14ac:dyDescent="0.3">
      <c r="A47" s="2">
        <v>66</v>
      </c>
    </row>
    <row r="48" spans="1:1" x14ac:dyDescent="0.3">
      <c r="A48" s="2">
        <v>90</v>
      </c>
    </row>
    <row r="49" spans="1:1" x14ac:dyDescent="0.3">
      <c r="A49" s="2">
        <v>20</v>
      </c>
    </row>
    <row r="50" spans="1:1" x14ac:dyDescent="0.3">
      <c r="A50" s="2">
        <v>66</v>
      </c>
    </row>
    <row r="51" spans="1:1" x14ac:dyDescent="0.3">
      <c r="A51" s="2">
        <v>43</v>
      </c>
    </row>
    <row r="52" spans="1:1" x14ac:dyDescent="0.3">
      <c r="A52" s="2">
        <v>55</v>
      </c>
    </row>
    <row r="53" spans="1:1" x14ac:dyDescent="0.3">
      <c r="A53" s="2">
        <v>47</v>
      </c>
    </row>
    <row r="54" spans="1:1" x14ac:dyDescent="0.3">
      <c r="A54" s="2">
        <v>61</v>
      </c>
    </row>
    <row r="55" spans="1:1" x14ac:dyDescent="0.3">
      <c r="A55" s="2">
        <v>47</v>
      </c>
    </row>
    <row r="56" spans="1:1" x14ac:dyDescent="0.3">
      <c r="A56" s="2">
        <v>73</v>
      </c>
    </row>
    <row r="57" spans="1:1" x14ac:dyDescent="0.3">
      <c r="A57" s="2">
        <v>50</v>
      </c>
    </row>
    <row r="58" spans="1:1" x14ac:dyDescent="0.3">
      <c r="A58" s="2">
        <v>66</v>
      </c>
    </row>
    <row r="59" spans="1:1" x14ac:dyDescent="0.3">
      <c r="A59" s="2">
        <v>59</v>
      </c>
    </row>
    <row r="60" spans="1:1" x14ac:dyDescent="0.3">
      <c r="A60" s="2">
        <v>80</v>
      </c>
    </row>
    <row r="61" spans="1:1" x14ac:dyDescent="0.3">
      <c r="A61" s="2">
        <v>42</v>
      </c>
    </row>
    <row r="62" spans="1:1" x14ac:dyDescent="0.3">
      <c r="A62" s="2">
        <v>50</v>
      </c>
    </row>
    <row r="63" spans="1:1" x14ac:dyDescent="0.3">
      <c r="A63" s="2">
        <v>87</v>
      </c>
    </row>
    <row r="64" spans="1:1" x14ac:dyDescent="0.3">
      <c r="A64" s="2">
        <v>29</v>
      </c>
    </row>
    <row r="65" spans="1:1" x14ac:dyDescent="0.3">
      <c r="A65" s="2">
        <v>57</v>
      </c>
    </row>
  </sheetData>
  <mergeCells count="1">
    <mergeCell ref="C4:G1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57F3-76C4-4700-A927-506C761A8D73}">
  <sheetPr>
    <tabColor theme="5" tint="0.79998168889431442"/>
  </sheetPr>
  <dimension ref="A1:DU65"/>
  <sheetViews>
    <sheetView showGridLines="0" tabSelected="1" topLeftCell="CX1" zoomScale="95" zoomScaleNormal="95" workbookViewId="0">
      <selection activeCell="AF9" sqref="AF9"/>
    </sheetView>
  </sheetViews>
  <sheetFormatPr defaultRowHeight="14.4" x14ac:dyDescent="0.3"/>
  <cols>
    <col min="1" max="1" width="13.5546875" bestFit="1" customWidth="1"/>
    <col min="2" max="2" width="17.33203125" bestFit="1" customWidth="1"/>
    <col min="3" max="3" width="16.5546875" bestFit="1" customWidth="1"/>
    <col min="4" max="4" width="4.33203125" bestFit="1" customWidth="1"/>
    <col min="5" max="5" width="8.109375" bestFit="1" customWidth="1"/>
    <col min="6" max="6" width="3" bestFit="1" customWidth="1"/>
    <col min="7" max="14" width="2" bestFit="1" customWidth="1"/>
    <col min="15" max="15" width="3" bestFit="1" customWidth="1"/>
    <col min="16" max="16" width="8.109375" bestFit="1" customWidth="1"/>
    <col min="18" max="18" width="4.33203125" bestFit="1" customWidth="1"/>
    <col min="19" max="19" width="8.109375" bestFit="1" customWidth="1"/>
    <col min="20" max="20" width="11" bestFit="1" customWidth="1"/>
    <col min="21" max="29" width="6" bestFit="1" customWidth="1"/>
    <col min="30" max="30" width="8.109375" bestFit="1" customWidth="1"/>
    <col min="32" max="32" width="40" bestFit="1" customWidth="1"/>
    <col min="34" max="34" width="4.33203125" bestFit="1" customWidth="1"/>
    <col min="35" max="35" width="8.109375" bestFit="1" customWidth="1"/>
    <col min="36" max="76" width="3" bestFit="1" customWidth="1"/>
    <col min="77" max="77" width="8.109375" bestFit="1" customWidth="1"/>
    <col min="80" max="80" width="4.33203125" bestFit="1" customWidth="1"/>
    <col min="81" max="81" width="8.109375" bestFit="1" customWidth="1"/>
    <col min="82" max="122" width="5.44140625" bestFit="1" customWidth="1"/>
    <col min="123" max="123" width="8.109375" bestFit="1" customWidth="1"/>
    <col min="125" max="125" width="19.44140625" bestFit="1" customWidth="1"/>
  </cols>
  <sheetData>
    <row r="1" spans="1:125" ht="19.2" thickBot="1" x14ac:dyDescent="0.5">
      <c r="A1" s="5" t="s">
        <v>13</v>
      </c>
      <c r="B1" s="5" t="s">
        <v>14</v>
      </c>
      <c r="C1" s="5" t="s">
        <v>15</v>
      </c>
      <c r="AF1" s="5" t="s">
        <v>21</v>
      </c>
      <c r="DU1" s="5" t="s">
        <v>21</v>
      </c>
    </row>
    <row r="2" spans="1:125" ht="15" thickTop="1" x14ac:dyDescent="0.3">
      <c r="A2" s="2">
        <v>48</v>
      </c>
      <c r="B2" s="4">
        <v>18</v>
      </c>
      <c r="C2" s="4">
        <v>37</v>
      </c>
      <c r="F2" s="20" t="s">
        <v>16</v>
      </c>
      <c r="G2" s="23"/>
      <c r="H2" s="23"/>
      <c r="I2" s="23"/>
      <c r="J2" s="23"/>
      <c r="K2" s="23"/>
      <c r="L2" s="23"/>
      <c r="M2" s="23"/>
      <c r="N2" s="23"/>
      <c r="O2" s="24"/>
      <c r="T2" s="20" t="s">
        <v>16</v>
      </c>
      <c r="U2" s="23"/>
      <c r="V2" s="23"/>
      <c r="W2" s="23"/>
      <c r="X2" s="23"/>
      <c r="Y2" s="23"/>
      <c r="Z2" s="23"/>
      <c r="AA2" s="23"/>
      <c r="AB2" s="23"/>
      <c r="AC2" s="24"/>
      <c r="AF2" t="s">
        <v>19</v>
      </c>
      <c r="AI2" s="17" t="s">
        <v>23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9"/>
      <c r="CC2" s="17" t="s">
        <v>23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9"/>
      <c r="DU2" t="s">
        <v>19</v>
      </c>
    </row>
    <row r="3" spans="1:125" ht="15" thickBot="1" x14ac:dyDescent="0.35">
      <c r="A3" s="2">
        <v>31</v>
      </c>
      <c r="B3" s="4">
        <v>8</v>
      </c>
      <c r="C3" s="2">
        <v>44</v>
      </c>
      <c r="E3" s="2"/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 t="s">
        <v>18</v>
      </c>
      <c r="S3" s="2"/>
      <c r="T3" s="2">
        <v>1</v>
      </c>
      <c r="U3" s="2">
        <v>2</v>
      </c>
      <c r="V3" s="2">
        <v>3</v>
      </c>
      <c r="W3" s="2">
        <v>4</v>
      </c>
      <c r="X3" s="2">
        <v>5</v>
      </c>
      <c r="Y3" s="2">
        <v>6</v>
      </c>
      <c r="Z3" s="2">
        <v>7</v>
      </c>
      <c r="AA3" s="2">
        <v>8</v>
      </c>
      <c r="AB3" s="2">
        <v>9</v>
      </c>
      <c r="AC3" s="2">
        <v>10</v>
      </c>
      <c r="AD3" s="2" t="s">
        <v>18</v>
      </c>
      <c r="AF3" t="s">
        <v>20</v>
      </c>
      <c r="AI3" s="2"/>
      <c r="AJ3" s="2">
        <v>37</v>
      </c>
      <c r="AK3" s="2">
        <v>44</v>
      </c>
      <c r="AL3" s="2">
        <v>54</v>
      </c>
      <c r="AM3" s="2">
        <v>41</v>
      </c>
      <c r="AN3" s="2">
        <v>39</v>
      </c>
      <c r="AO3" s="2">
        <v>65</v>
      </c>
      <c r="AP3" s="2">
        <v>46</v>
      </c>
      <c r="AQ3" s="2">
        <v>75</v>
      </c>
      <c r="AR3" s="2">
        <v>68</v>
      </c>
      <c r="AS3" s="2">
        <v>77</v>
      </c>
      <c r="AT3" s="2">
        <v>63</v>
      </c>
      <c r="AU3" s="2">
        <v>42</v>
      </c>
      <c r="AV3" s="2">
        <v>30</v>
      </c>
      <c r="AW3" s="2">
        <v>78</v>
      </c>
      <c r="AX3" s="2">
        <v>53</v>
      </c>
      <c r="AY3" s="2">
        <v>71</v>
      </c>
      <c r="AZ3" s="2">
        <v>80</v>
      </c>
      <c r="BA3" s="2">
        <v>74</v>
      </c>
      <c r="BB3" s="2">
        <v>69</v>
      </c>
      <c r="BC3" s="2">
        <v>48</v>
      </c>
      <c r="BD3" s="2">
        <v>60</v>
      </c>
      <c r="BE3" s="2">
        <v>64</v>
      </c>
      <c r="BF3" s="2">
        <v>24</v>
      </c>
      <c r="BG3" s="2">
        <v>22</v>
      </c>
      <c r="BH3" s="2">
        <v>25</v>
      </c>
      <c r="BI3" s="2">
        <v>72</v>
      </c>
      <c r="BJ3" s="2">
        <v>47</v>
      </c>
      <c r="BK3" s="2">
        <v>21</v>
      </c>
      <c r="BL3" s="2">
        <v>70</v>
      </c>
      <c r="BM3" s="2">
        <v>34</v>
      </c>
      <c r="BN3" s="2">
        <v>32</v>
      </c>
      <c r="BO3" s="2">
        <v>38</v>
      </c>
      <c r="BP3" s="2">
        <v>55</v>
      </c>
      <c r="BQ3" s="2">
        <v>61</v>
      </c>
      <c r="BR3" s="2">
        <v>57</v>
      </c>
      <c r="BS3" s="2">
        <v>52</v>
      </c>
      <c r="BT3" s="2">
        <v>27</v>
      </c>
      <c r="BU3" s="2">
        <v>23</v>
      </c>
      <c r="BV3" s="2">
        <v>79</v>
      </c>
      <c r="BW3" s="2">
        <v>33</v>
      </c>
      <c r="BX3" s="2">
        <v>76</v>
      </c>
      <c r="BY3" s="2" t="s">
        <v>18</v>
      </c>
      <c r="CC3" s="2"/>
      <c r="CD3" s="2">
        <v>37</v>
      </c>
      <c r="CE3" s="2">
        <v>44</v>
      </c>
      <c r="CF3" s="2">
        <v>54</v>
      </c>
      <c r="CG3" s="2">
        <v>41</v>
      </c>
      <c r="CH3" s="2">
        <v>39</v>
      </c>
      <c r="CI3" s="2">
        <v>65</v>
      </c>
      <c r="CJ3" s="2">
        <v>46</v>
      </c>
      <c r="CK3" s="2">
        <v>75</v>
      </c>
      <c r="CL3" s="2">
        <v>68</v>
      </c>
      <c r="CM3" s="2">
        <v>77</v>
      </c>
      <c r="CN3" s="2">
        <v>63</v>
      </c>
      <c r="CO3" s="2">
        <v>42</v>
      </c>
      <c r="CP3" s="2">
        <v>30</v>
      </c>
      <c r="CQ3" s="2">
        <v>78</v>
      </c>
      <c r="CR3" s="2">
        <v>53</v>
      </c>
      <c r="CS3" s="2">
        <v>71</v>
      </c>
      <c r="CT3" s="2">
        <v>80</v>
      </c>
      <c r="CU3" s="2">
        <v>74</v>
      </c>
      <c r="CV3" s="2">
        <v>69</v>
      </c>
      <c r="CW3" s="2">
        <v>48</v>
      </c>
      <c r="CX3" s="2">
        <v>60</v>
      </c>
      <c r="CY3" s="2">
        <v>64</v>
      </c>
      <c r="CZ3" s="2">
        <v>24</v>
      </c>
      <c r="DA3" s="2">
        <v>22</v>
      </c>
      <c r="DB3" s="2">
        <v>25</v>
      </c>
      <c r="DC3" s="2">
        <v>72</v>
      </c>
      <c r="DD3" s="2">
        <v>47</v>
      </c>
      <c r="DE3" s="2">
        <v>21</v>
      </c>
      <c r="DF3" s="2">
        <v>70</v>
      </c>
      <c r="DG3" s="2">
        <v>34</v>
      </c>
      <c r="DH3" s="2">
        <v>32</v>
      </c>
      <c r="DI3" s="2">
        <v>38</v>
      </c>
      <c r="DJ3" s="2">
        <v>55</v>
      </c>
      <c r="DK3" s="2">
        <v>61</v>
      </c>
      <c r="DL3" s="2">
        <v>57</v>
      </c>
      <c r="DM3" s="2">
        <v>52</v>
      </c>
      <c r="DN3" s="2">
        <v>27</v>
      </c>
      <c r="DO3" s="2">
        <v>23</v>
      </c>
      <c r="DP3" s="2">
        <v>79</v>
      </c>
      <c r="DQ3" s="2">
        <v>33</v>
      </c>
      <c r="DR3" s="2">
        <v>76</v>
      </c>
      <c r="DS3" s="2" t="s">
        <v>18</v>
      </c>
      <c r="DU3" t="s">
        <v>20</v>
      </c>
    </row>
    <row r="4" spans="1:125" x14ac:dyDescent="0.3">
      <c r="A4" s="2">
        <v>73</v>
      </c>
      <c r="B4" s="4">
        <v>7</v>
      </c>
      <c r="C4" s="6">
        <v>54</v>
      </c>
      <c r="D4" s="20" t="s">
        <v>17</v>
      </c>
      <c r="E4" s="2" cm="1">
        <f t="array" ref="E4:E41">_xlfn.UNIQUE(A2:A65)</f>
        <v>48</v>
      </c>
      <c r="F4" s="2">
        <f>COUNTIFS($A$2:$A$65,$E4,$B$2:$B$65,F$3)</f>
        <v>0</v>
      </c>
      <c r="G4" s="2">
        <f t="shared" ref="G4:O19" si="0">COUNTIFS($A$2:$A$65,$E4,$B$2:$B$65,G$3)</f>
        <v>0</v>
      </c>
      <c r="H4" s="2">
        <f t="shared" si="0"/>
        <v>0</v>
      </c>
      <c r="I4" s="2">
        <f t="shared" si="0"/>
        <v>0</v>
      </c>
      <c r="J4" s="2">
        <f t="shared" si="0"/>
        <v>0</v>
      </c>
      <c r="K4" s="2">
        <f>COUNTIFS($A$2:$A$65,$E4,$B$2:$B$65,K$3)</f>
        <v>0</v>
      </c>
      <c r="L4" s="2">
        <f t="shared" si="0"/>
        <v>0</v>
      </c>
      <c r="M4" s="2">
        <f t="shared" si="0"/>
        <v>0</v>
      </c>
      <c r="N4" s="2">
        <f t="shared" si="0"/>
        <v>0</v>
      </c>
      <c r="O4" s="2">
        <f t="shared" si="0"/>
        <v>0</v>
      </c>
      <c r="P4" s="2">
        <f t="shared" ref="P4:P47" si="1">SUM(F4:O4)</f>
        <v>0</v>
      </c>
      <c r="R4" s="20" t="s">
        <v>17</v>
      </c>
      <c r="S4" s="2">
        <v>41</v>
      </c>
      <c r="T4" s="2">
        <f t="shared" ref="T4" si="2">ROUND($AD4*T$47/$AD$47,3)</f>
        <v>0.34399999999999997</v>
      </c>
      <c r="U4" s="2">
        <f t="shared" ref="U4:AC19" si="3">ROUND($AD4*U$47/$AD$47,3)</f>
        <v>0.188</v>
      </c>
      <c r="V4" s="2">
        <f t="shared" si="3"/>
        <v>0.156</v>
      </c>
      <c r="W4" s="2">
        <f t="shared" si="3"/>
        <v>0.25</v>
      </c>
      <c r="X4" s="2">
        <f t="shared" si="3"/>
        <v>0.156</v>
      </c>
      <c r="Y4" s="2">
        <f t="shared" si="3"/>
        <v>0.156</v>
      </c>
      <c r="Z4" s="2">
        <f t="shared" si="3"/>
        <v>0.125</v>
      </c>
      <c r="AA4" s="2">
        <f t="shared" si="3"/>
        <v>0.156</v>
      </c>
      <c r="AB4" s="2">
        <f t="shared" si="3"/>
        <v>0.219</v>
      </c>
      <c r="AC4" s="2">
        <f t="shared" si="3"/>
        <v>0.25</v>
      </c>
      <c r="AD4" s="2">
        <v>2</v>
      </c>
      <c r="AF4" t="str">
        <f>"Test="&amp;_xlfn.CHISQ.TEST(F4:O46,T4:AC46)</f>
        <v>Test=0,999999155277458</v>
      </c>
      <c r="AH4" s="20" t="s">
        <v>17</v>
      </c>
      <c r="AI4" s="2">
        <v>41</v>
      </c>
      <c r="AJ4" s="2">
        <f>COUNTIFS($A$2:$A$65,$AI4,$C$2:$C$65,AJ$3)</f>
        <v>0</v>
      </c>
      <c r="AK4" s="2">
        <f t="shared" ref="AK4:BX10" si="4">COUNTIFS($A$2:$A$65,$AI4,$C$2:$C$65,AK$3)</f>
        <v>0</v>
      </c>
      <c r="AL4" s="2">
        <f t="shared" si="4"/>
        <v>0</v>
      </c>
      <c r="AM4" s="2">
        <f t="shared" si="4"/>
        <v>0</v>
      </c>
      <c r="AN4" s="2">
        <f t="shared" si="4"/>
        <v>1</v>
      </c>
      <c r="AO4" s="2">
        <f t="shared" si="4"/>
        <v>0</v>
      </c>
      <c r="AP4" s="2">
        <f t="shared" si="4"/>
        <v>0</v>
      </c>
      <c r="AQ4" s="2">
        <f t="shared" si="4"/>
        <v>0</v>
      </c>
      <c r="AR4" s="2">
        <f t="shared" si="4"/>
        <v>0</v>
      </c>
      <c r="AS4" s="2">
        <f t="shared" si="4"/>
        <v>0</v>
      </c>
      <c r="AT4" s="2">
        <f t="shared" si="4"/>
        <v>0</v>
      </c>
      <c r="AU4" s="2">
        <f t="shared" si="4"/>
        <v>0</v>
      </c>
      <c r="AV4" s="2">
        <f t="shared" si="4"/>
        <v>0</v>
      </c>
      <c r="AW4" s="2">
        <f t="shared" si="4"/>
        <v>0</v>
      </c>
      <c r="AX4" s="2">
        <f t="shared" si="4"/>
        <v>0</v>
      </c>
      <c r="AY4" s="2">
        <f t="shared" si="4"/>
        <v>0</v>
      </c>
      <c r="AZ4" s="2">
        <f t="shared" si="4"/>
        <v>0</v>
      </c>
      <c r="BA4" s="2">
        <f t="shared" si="4"/>
        <v>0</v>
      </c>
      <c r="BB4" s="2">
        <f t="shared" si="4"/>
        <v>0</v>
      </c>
      <c r="BC4" s="2">
        <f t="shared" si="4"/>
        <v>0</v>
      </c>
      <c r="BD4" s="2">
        <f t="shared" si="4"/>
        <v>0</v>
      </c>
      <c r="BE4" s="2">
        <f t="shared" si="4"/>
        <v>0</v>
      </c>
      <c r="BF4" s="2">
        <f t="shared" si="4"/>
        <v>0</v>
      </c>
      <c r="BG4" s="2">
        <f t="shared" si="4"/>
        <v>0</v>
      </c>
      <c r="BH4" s="2">
        <f t="shared" si="4"/>
        <v>0</v>
      </c>
      <c r="BI4" s="2">
        <f t="shared" si="4"/>
        <v>0</v>
      </c>
      <c r="BJ4" s="2">
        <f t="shared" si="4"/>
        <v>0</v>
      </c>
      <c r="BK4" s="2">
        <f t="shared" si="4"/>
        <v>0</v>
      </c>
      <c r="BL4" s="2">
        <f t="shared" si="4"/>
        <v>0</v>
      </c>
      <c r="BM4" s="2">
        <f t="shared" si="4"/>
        <v>0</v>
      </c>
      <c r="BN4" s="2">
        <f t="shared" si="4"/>
        <v>0</v>
      </c>
      <c r="BO4" s="2">
        <f t="shared" si="4"/>
        <v>0</v>
      </c>
      <c r="BP4" s="2">
        <f t="shared" si="4"/>
        <v>0</v>
      </c>
      <c r="BQ4" s="2">
        <f t="shared" si="4"/>
        <v>0</v>
      </c>
      <c r="BR4" s="2">
        <f t="shared" si="4"/>
        <v>0</v>
      </c>
      <c r="BS4" s="2">
        <f t="shared" si="4"/>
        <v>0</v>
      </c>
      <c r="BT4" s="2">
        <f t="shared" si="4"/>
        <v>0</v>
      </c>
      <c r="BU4" s="2">
        <f>COUNTIFS($A$2:$A$65,$AI4,$C$2:$C$65,BU$3)</f>
        <v>0</v>
      </c>
      <c r="BV4" s="2">
        <f t="shared" si="4"/>
        <v>0</v>
      </c>
      <c r="BW4" s="2">
        <f t="shared" si="4"/>
        <v>0</v>
      </c>
      <c r="BX4" s="2">
        <f t="shared" si="4"/>
        <v>0</v>
      </c>
      <c r="BY4" s="2">
        <f>SUM(AJ4:BX4)</f>
        <v>1</v>
      </c>
      <c r="CB4" s="20" t="s">
        <v>17</v>
      </c>
      <c r="CC4" s="2">
        <v>41</v>
      </c>
      <c r="CD4" s="3">
        <f>$DS4*CD$47/$DS$47</f>
        <v>3.125E-2</v>
      </c>
      <c r="CE4" s="3">
        <f t="shared" ref="CE4:DR10" si="5">$DS4*CE$47/$DS$47</f>
        <v>3.125E-2</v>
      </c>
      <c r="CF4" s="3">
        <f t="shared" si="5"/>
        <v>3.125E-2</v>
      </c>
      <c r="CG4" s="3">
        <f t="shared" si="5"/>
        <v>6.25E-2</v>
      </c>
      <c r="CH4" s="3">
        <f t="shared" si="5"/>
        <v>6.25E-2</v>
      </c>
      <c r="CI4" s="3">
        <f t="shared" si="5"/>
        <v>6.25E-2</v>
      </c>
      <c r="CJ4" s="3">
        <f t="shared" si="5"/>
        <v>3.125E-2</v>
      </c>
      <c r="CK4" s="3">
        <f t="shared" si="5"/>
        <v>9.375E-2</v>
      </c>
      <c r="CL4" s="3">
        <f t="shared" si="5"/>
        <v>3.125E-2</v>
      </c>
      <c r="CM4" s="3">
        <f t="shared" si="5"/>
        <v>6.25E-2</v>
      </c>
      <c r="CN4" s="3">
        <f t="shared" si="5"/>
        <v>6.25E-2</v>
      </c>
      <c r="CO4" s="3">
        <f t="shared" si="5"/>
        <v>3.125E-2</v>
      </c>
      <c r="CP4" s="3">
        <f t="shared" si="5"/>
        <v>6.25E-2</v>
      </c>
      <c r="CQ4" s="3">
        <f t="shared" si="5"/>
        <v>6.25E-2</v>
      </c>
      <c r="CR4" s="3">
        <f t="shared" si="5"/>
        <v>3.125E-2</v>
      </c>
      <c r="CS4" s="3">
        <f t="shared" si="5"/>
        <v>9.375E-2</v>
      </c>
      <c r="CT4" s="3">
        <f t="shared" si="5"/>
        <v>6.25E-2</v>
      </c>
      <c r="CU4" s="3">
        <f t="shared" si="5"/>
        <v>3.125E-2</v>
      </c>
      <c r="CV4" s="3">
        <f t="shared" si="5"/>
        <v>6.25E-2</v>
      </c>
      <c r="CW4" s="3">
        <f t="shared" si="5"/>
        <v>3.125E-2</v>
      </c>
      <c r="CX4" s="3">
        <f t="shared" si="5"/>
        <v>3.125E-2</v>
      </c>
      <c r="CY4" s="3">
        <f t="shared" si="5"/>
        <v>6.25E-2</v>
      </c>
      <c r="CZ4" s="3">
        <f t="shared" si="5"/>
        <v>3.125E-2</v>
      </c>
      <c r="DA4" s="3">
        <f t="shared" si="5"/>
        <v>3.125E-2</v>
      </c>
      <c r="DB4" s="3">
        <f t="shared" si="5"/>
        <v>9.375E-2</v>
      </c>
      <c r="DC4" s="3">
        <f t="shared" si="5"/>
        <v>3.125E-2</v>
      </c>
      <c r="DD4" s="3">
        <f t="shared" si="5"/>
        <v>9.375E-2</v>
      </c>
      <c r="DE4" s="3">
        <f t="shared" si="5"/>
        <v>6.25E-2</v>
      </c>
      <c r="DF4" s="3">
        <f t="shared" si="5"/>
        <v>3.125E-2</v>
      </c>
      <c r="DG4" s="3">
        <f t="shared" si="5"/>
        <v>3.125E-2</v>
      </c>
      <c r="DH4" s="3">
        <f t="shared" si="5"/>
        <v>9.375E-2</v>
      </c>
      <c r="DI4" s="3">
        <f t="shared" si="5"/>
        <v>6.25E-2</v>
      </c>
      <c r="DJ4" s="3">
        <f t="shared" si="5"/>
        <v>3.125E-2</v>
      </c>
      <c r="DK4" s="3">
        <f t="shared" si="5"/>
        <v>3.125E-2</v>
      </c>
      <c r="DL4" s="3">
        <f t="shared" si="5"/>
        <v>3.125E-2</v>
      </c>
      <c r="DM4" s="3">
        <f t="shared" si="5"/>
        <v>6.25E-2</v>
      </c>
      <c r="DN4" s="3">
        <f t="shared" si="5"/>
        <v>3.125E-2</v>
      </c>
      <c r="DO4" s="3">
        <f t="shared" si="5"/>
        <v>3.125E-2</v>
      </c>
      <c r="DP4" s="3">
        <f t="shared" si="5"/>
        <v>3.125E-2</v>
      </c>
      <c r="DQ4" s="3">
        <f t="shared" si="5"/>
        <v>3.125E-2</v>
      </c>
      <c r="DR4" s="3">
        <f t="shared" si="5"/>
        <v>3.125E-2</v>
      </c>
      <c r="DS4" s="2">
        <v>2</v>
      </c>
      <c r="DU4" t="str">
        <f>"Test="</f>
        <v>Test=</v>
      </c>
    </row>
    <row r="5" spans="1:125" x14ac:dyDescent="0.3">
      <c r="A5" s="2">
        <v>31</v>
      </c>
      <c r="B5" s="4">
        <v>13</v>
      </c>
      <c r="C5" s="6">
        <v>41</v>
      </c>
      <c r="D5" s="21"/>
      <c r="E5" s="2">
        <v>31</v>
      </c>
      <c r="F5" s="2">
        <f t="shared" ref="F5:O36" si="6">COUNTIFS($A$2:$A$65,$E5,$B$2:$B$65,F$3)</f>
        <v>0</v>
      </c>
      <c r="G5" s="2">
        <f t="shared" si="0"/>
        <v>0</v>
      </c>
      <c r="H5" s="2">
        <f t="shared" si="0"/>
        <v>0</v>
      </c>
      <c r="I5" s="2">
        <f t="shared" si="0"/>
        <v>0</v>
      </c>
      <c r="J5" s="2">
        <f t="shared" si="0"/>
        <v>0</v>
      </c>
      <c r="K5" s="2">
        <f t="shared" si="0"/>
        <v>0</v>
      </c>
      <c r="L5" s="2">
        <f t="shared" si="0"/>
        <v>1</v>
      </c>
      <c r="M5" s="2">
        <f t="shared" si="0"/>
        <v>1</v>
      </c>
      <c r="N5" s="2">
        <f t="shared" si="0"/>
        <v>0</v>
      </c>
      <c r="O5" s="2">
        <f t="shared" si="0"/>
        <v>0</v>
      </c>
      <c r="P5" s="2">
        <f t="shared" si="1"/>
        <v>2</v>
      </c>
      <c r="R5" s="21"/>
      <c r="S5" s="2">
        <v>27</v>
      </c>
      <c r="T5" s="2">
        <f t="shared" ref="T5:AC43" si="7">ROUND($AD5*T$47/$AD$47,3)</f>
        <v>0.17199999999999999</v>
      </c>
      <c r="U5" s="2">
        <f t="shared" si="3"/>
        <v>9.4E-2</v>
      </c>
      <c r="V5" s="2">
        <f t="shared" si="3"/>
        <v>7.8E-2</v>
      </c>
      <c r="W5" s="2">
        <f t="shared" si="3"/>
        <v>0.125</v>
      </c>
      <c r="X5" s="2">
        <f t="shared" si="3"/>
        <v>7.8E-2</v>
      </c>
      <c r="Y5" s="2">
        <f t="shared" si="3"/>
        <v>7.8E-2</v>
      </c>
      <c r="Z5" s="2">
        <f t="shared" si="3"/>
        <v>6.3E-2</v>
      </c>
      <c r="AA5" s="2">
        <f t="shared" si="3"/>
        <v>7.8E-2</v>
      </c>
      <c r="AB5" s="2">
        <f t="shared" si="3"/>
        <v>0.109</v>
      </c>
      <c r="AC5" s="2">
        <f t="shared" si="3"/>
        <v>0.125</v>
      </c>
      <c r="AD5" s="2">
        <v>1</v>
      </c>
      <c r="AF5" t="s">
        <v>22</v>
      </c>
      <c r="AH5" s="21"/>
      <c r="AI5" s="2">
        <v>27</v>
      </c>
      <c r="AJ5" s="2">
        <f t="shared" ref="AJ5:AY26" si="8">COUNTIFS($A$2:$A$65,$AI5,$C$2:$C$65,AJ$3)</f>
        <v>0</v>
      </c>
      <c r="AK5" s="2">
        <f t="shared" si="4"/>
        <v>0</v>
      </c>
      <c r="AL5" s="2">
        <f t="shared" si="4"/>
        <v>0</v>
      </c>
      <c r="AM5" s="2">
        <f t="shared" si="4"/>
        <v>0</v>
      </c>
      <c r="AN5" s="2">
        <f t="shared" si="4"/>
        <v>0</v>
      </c>
      <c r="AO5" s="2">
        <f t="shared" si="4"/>
        <v>0</v>
      </c>
      <c r="AP5" s="2">
        <f t="shared" si="4"/>
        <v>0</v>
      </c>
      <c r="AQ5" s="2">
        <f t="shared" si="4"/>
        <v>0</v>
      </c>
      <c r="AR5" s="2">
        <f t="shared" si="4"/>
        <v>0</v>
      </c>
      <c r="AS5" s="2">
        <f t="shared" si="4"/>
        <v>0</v>
      </c>
      <c r="AT5" s="2">
        <f t="shared" si="4"/>
        <v>0</v>
      </c>
      <c r="AU5" s="2">
        <f t="shared" si="4"/>
        <v>0</v>
      </c>
      <c r="AV5" s="2">
        <f t="shared" si="4"/>
        <v>0</v>
      </c>
      <c r="AW5" s="2">
        <f t="shared" si="4"/>
        <v>0</v>
      </c>
      <c r="AX5" s="2">
        <f t="shared" si="4"/>
        <v>0</v>
      </c>
      <c r="AY5" s="2">
        <f t="shared" si="4"/>
        <v>0</v>
      </c>
      <c r="AZ5" s="2">
        <f t="shared" si="4"/>
        <v>0</v>
      </c>
      <c r="BA5" s="2">
        <f t="shared" si="4"/>
        <v>0</v>
      </c>
      <c r="BB5" s="2">
        <f t="shared" si="4"/>
        <v>0</v>
      </c>
      <c r="BC5" s="2">
        <f t="shared" si="4"/>
        <v>0</v>
      </c>
      <c r="BD5" s="2">
        <f t="shared" si="4"/>
        <v>0</v>
      </c>
      <c r="BE5" s="2">
        <f t="shared" si="4"/>
        <v>0</v>
      </c>
      <c r="BF5" s="2">
        <f t="shared" si="4"/>
        <v>0</v>
      </c>
      <c r="BG5" s="2">
        <f t="shared" si="4"/>
        <v>0</v>
      </c>
      <c r="BH5" s="2">
        <f t="shared" si="4"/>
        <v>0</v>
      </c>
      <c r="BI5" s="2">
        <f t="shared" si="4"/>
        <v>0</v>
      </c>
      <c r="BJ5" s="2">
        <f t="shared" si="4"/>
        <v>0</v>
      </c>
      <c r="BK5" s="2">
        <f t="shared" si="4"/>
        <v>0</v>
      </c>
      <c r="BL5" s="2">
        <f t="shared" si="4"/>
        <v>0</v>
      </c>
      <c r="BM5" s="2">
        <f t="shared" si="4"/>
        <v>0</v>
      </c>
      <c r="BN5" s="2">
        <f t="shared" si="4"/>
        <v>0</v>
      </c>
      <c r="BO5" s="2">
        <f t="shared" si="4"/>
        <v>0</v>
      </c>
      <c r="BP5" s="2">
        <f t="shared" si="4"/>
        <v>0</v>
      </c>
      <c r="BQ5" s="2">
        <f t="shared" si="4"/>
        <v>0</v>
      </c>
      <c r="BR5" s="2">
        <f t="shared" si="4"/>
        <v>0</v>
      </c>
      <c r="BS5" s="2">
        <f t="shared" si="4"/>
        <v>0</v>
      </c>
      <c r="BT5" s="2">
        <f t="shared" si="4"/>
        <v>0</v>
      </c>
      <c r="BU5" s="2">
        <f t="shared" si="4"/>
        <v>0</v>
      </c>
      <c r="BV5" s="2">
        <f t="shared" si="4"/>
        <v>0</v>
      </c>
      <c r="BW5" s="2">
        <f t="shared" si="4"/>
        <v>0</v>
      </c>
      <c r="BX5" s="2">
        <f t="shared" si="4"/>
        <v>0</v>
      </c>
      <c r="BY5" s="2">
        <f t="shared" ref="BY5:BY47" si="9">SUM(AJ5:BX5)</f>
        <v>0</v>
      </c>
      <c r="CB5" s="21"/>
      <c r="CC5" s="2">
        <v>27</v>
      </c>
      <c r="CD5" s="3">
        <f t="shared" ref="CD5:CS26" si="10">$DS5*CD$47/$DS$47</f>
        <v>1.5625E-2</v>
      </c>
      <c r="CE5" s="3">
        <f t="shared" si="5"/>
        <v>1.5625E-2</v>
      </c>
      <c r="CF5" s="3">
        <f t="shared" si="5"/>
        <v>1.5625E-2</v>
      </c>
      <c r="CG5" s="3">
        <f t="shared" si="5"/>
        <v>3.125E-2</v>
      </c>
      <c r="CH5" s="3">
        <f t="shared" si="5"/>
        <v>3.125E-2</v>
      </c>
      <c r="CI5" s="3">
        <f t="shared" si="5"/>
        <v>3.125E-2</v>
      </c>
      <c r="CJ5" s="3">
        <f t="shared" si="5"/>
        <v>1.5625E-2</v>
      </c>
      <c r="CK5" s="3">
        <f t="shared" si="5"/>
        <v>4.6875E-2</v>
      </c>
      <c r="CL5" s="3">
        <f t="shared" si="5"/>
        <v>1.5625E-2</v>
      </c>
      <c r="CM5" s="3">
        <f t="shared" si="5"/>
        <v>3.125E-2</v>
      </c>
      <c r="CN5" s="3">
        <f t="shared" si="5"/>
        <v>3.125E-2</v>
      </c>
      <c r="CO5" s="3">
        <f t="shared" si="5"/>
        <v>1.5625E-2</v>
      </c>
      <c r="CP5" s="3">
        <f t="shared" si="5"/>
        <v>3.125E-2</v>
      </c>
      <c r="CQ5" s="3">
        <f t="shared" si="5"/>
        <v>3.125E-2</v>
      </c>
      <c r="CR5" s="3">
        <f t="shared" si="5"/>
        <v>1.5625E-2</v>
      </c>
      <c r="CS5" s="3">
        <f t="shared" si="5"/>
        <v>4.6875E-2</v>
      </c>
      <c r="CT5" s="3">
        <f t="shared" si="5"/>
        <v>3.125E-2</v>
      </c>
      <c r="CU5" s="3">
        <f t="shared" si="5"/>
        <v>1.5625E-2</v>
      </c>
      <c r="CV5" s="3">
        <f t="shared" si="5"/>
        <v>3.125E-2</v>
      </c>
      <c r="CW5" s="3">
        <f t="shared" si="5"/>
        <v>1.5625E-2</v>
      </c>
      <c r="CX5" s="3">
        <f t="shared" si="5"/>
        <v>1.5625E-2</v>
      </c>
      <c r="CY5" s="3">
        <f t="shared" si="5"/>
        <v>3.125E-2</v>
      </c>
      <c r="CZ5" s="3">
        <f t="shared" si="5"/>
        <v>1.5625E-2</v>
      </c>
      <c r="DA5" s="3">
        <f t="shared" si="5"/>
        <v>1.5625E-2</v>
      </c>
      <c r="DB5" s="3">
        <f t="shared" si="5"/>
        <v>4.6875E-2</v>
      </c>
      <c r="DC5" s="3">
        <f t="shared" si="5"/>
        <v>1.5625E-2</v>
      </c>
      <c r="DD5" s="3">
        <f t="shared" si="5"/>
        <v>4.6875E-2</v>
      </c>
      <c r="DE5" s="3">
        <f t="shared" si="5"/>
        <v>3.125E-2</v>
      </c>
      <c r="DF5" s="3">
        <f t="shared" si="5"/>
        <v>1.5625E-2</v>
      </c>
      <c r="DG5" s="3">
        <f t="shared" si="5"/>
        <v>1.5625E-2</v>
      </c>
      <c r="DH5" s="3">
        <f t="shared" si="5"/>
        <v>4.6875E-2</v>
      </c>
      <c r="DI5" s="3">
        <f t="shared" si="5"/>
        <v>3.125E-2</v>
      </c>
      <c r="DJ5" s="3">
        <f t="shared" si="5"/>
        <v>1.5625E-2</v>
      </c>
      <c r="DK5" s="3">
        <f t="shared" si="5"/>
        <v>1.5625E-2</v>
      </c>
      <c r="DL5" s="3">
        <f t="shared" si="5"/>
        <v>1.5625E-2</v>
      </c>
      <c r="DM5" s="3">
        <f t="shared" si="5"/>
        <v>3.125E-2</v>
      </c>
      <c r="DN5" s="3">
        <f t="shared" si="5"/>
        <v>1.5625E-2</v>
      </c>
      <c r="DO5" s="3">
        <f t="shared" si="5"/>
        <v>1.5625E-2</v>
      </c>
      <c r="DP5" s="3">
        <f t="shared" si="5"/>
        <v>1.5625E-2</v>
      </c>
      <c r="DQ5" s="3">
        <f t="shared" si="5"/>
        <v>1.5625E-2</v>
      </c>
      <c r="DR5" s="3">
        <f t="shared" si="5"/>
        <v>1.5625E-2</v>
      </c>
      <c r="DS5" s="2">
        <v>1</v>
      </c>
      <c r="DU5" t="s">
        <v>22</v>
      </c>
    </row>
    <row r="6" spans="1:125" x14ac:dyDescent="0.3">
      <c r="A6" s="2">
        <v>55</v>
      </c>
      <c r="B6" s="4">
        <v>17</v>
      </c>
      <c r="C6" s="6">
        <v>39</v>
      </c>
      <c r="D6" s="21"/>
      <c r="E6" s="2">
        <v>73</v>
      </c>
      <c r="F6" s="2">
        <f t="shared" si="6"/>
        <v>1</v>
      </c>
      <c r="G6" s="2">
        <f t="shared" si="0"/>
        <v>0</v>
      </c>
      <c r="H6" s="2">
        <f t="shared" si="0"/>
        <v>1</v>
      </c>
      <c r="I6" s="2">
        <f t="shared" si="0"/>
        <v>0</v>
      </c>
      <c r="J6" s="2">
        <f t="shared" si="0"/>
        <v>0</v>
      </c>
      <c r="K6" s="2">
        <f t="shared" si="0"/>
        <v>0</v>
      </c>
      <c r="L6" s="2">
        <f t="shared" si="0"/>
        <v>1</v>
      </c>
      <c r="M6" s="2">
        <f t="shared" si="0"/>
        <v>0</v>
      </c>
      <c r="N6" s="2">
        <f t="shared" si="0"/>
        <v>0</v>
      </c>
      <c r="O6" s="2">
        <f t="shared" si="0"/>
        <v>0</v>
      </c>
      <c r="P6" s="2">
        <f t="shared" si="1"/>
        <v>3</v>
      </c>
      <c r="R6" s="21"/>
      <c r="S6" s="2">
        <v>32</v>
      </c>
      <c r="T6" s="2">
        <f t="shared" si="7"/>
        <v>0.34399999999999997</v>
      </c>
      <c r="U6" s="2">
        <f t="shared" si="3"/>
        <v>0.188</v>
      </c>
      <c r="V6" s="2">
        <f t="shared" si="3"/>
        <v>0.156</v>
      </c>
      <c r="W6" s="2">
        <f t="shared" si="3"/>
        <v>0.25</v>
      </c>
      <c r="X6" s="2">
        <f t="shared" si="3"/>
        <v>0.156</v>
      </c>
      <c r="Y6" s="2">
        <f t="shared" si="3"/>
        <v>0.156</v>
      </c>
      <c r="Z6" s="2">
        <f t="shared" si="3"/>
        <v>0.125</v>
      </c>
      <c r="AA6" s="2">
        <f t="shared" si="3"/>
        <v>0.156</v>
      </c>
      <c r="AB6" s="2">
        <f t="shared" si="3"/>
        <v>0.219</v>
      </c>
      <c r="AC6" s="2">
        <f t="shared" si="3"/>
        <v>0.25</v>
      </c>
      <c r="AD6" s="2">
        <v>2</v>
      </c>
      <c r="AH6" s="21"/>
      <c r="AI6" s="2">
        <v>32</v>
      </c>
      <c r="AJ6" s="2">
        <f t="shared" si="8"/>
        <v>0</v>
      </c>
      <c r="AK6" s="2">
        <f t="shared" si="4"/>
        <v>0</v>
      </c>
      <c r="AL6" s="2">
        <f t="shared" si="4"/>
        <v>0</v>
      </c>
      <c r="AM6" s="2">
        <f t="shared" si="4"/>
        <v>0</v>
      </c>
      <c r="AN6" s="2">
        <f t="shared" si="4"/>
        <v>0</v>
      </c>
      <c r="AO6" s="2">
        <f t="shared" si="4"/>
        <v>0</v>
      </c>
      <c r="AP6" s="2">
        <f t="shared" si="4"/>
        <v>0</v>
      </c>
      <c r="AQ6" s="2">
        <f t="shared" si="4"/>
        <v>0</v>
      </c>
      <c r="AR6" s="2">
        <f t="shared" si="4"/>
        <v>0</v>
      </c>
      <c r="AS6" s="2">
        <f t="shared" si="4"/>
        <v>0</v>
      </c>
      <c r="AT6" s="2">
        <f t="shared" si="4"/>
        <v>0</v>
      </c>
      <c r="AU6" s="2">
        <f t="shared" si="4"/>
        <v>0</v>
      </c>
      <c r="AV6" s="2">
        <f t="shared" si="4"/>
        <v>0</v>
      </c>
      <c r="AW6" s="2">
        <f t="shared" si="4"/>
        <v>0</v>
      </c>
      <c r="AX6" s="2">
        <f t="shared" si="4"/>
        <v>0</v>
      </c>
      <c r="AY6" s="2">
        <f t="shared" si="4"/>
        <v>0</v>
      </c>
      <c r="AZ6" s="2">
        <f t="shared" si="4"/>
        <v>0</v>
      </c>
      <c r="BA6" s="2">
        <f t="shared" si="4"/>
        <v>0</v>
      </c>
      <c r="BB6" s="2">
        <f t="shared" si="4"/>
        <v>0</v>
      </c>
      <c r="BC6" s="2">
        <f t="shared" si="4"/>
        <v>0</v>
      </c>
      <c r="BD6" s="2">
        <f t="shared" si="4"/>
        <v>0</v>
      </c>
      <c r="BE6" s="2">
        <f t="shared" si="4"/>
        <v>0</v>
      </c>
      <c r="BF6" s="2">
        <f t="shared" si="4"/>
        <v>0</v>
      </c>
      <c r="BG6" s="2">
        <f t="shared" si="4"/>
        <v>0</v>
      </c>
      <c r="BH6" s="2">
        <f t="shared" si="4"/>
        <v>0</v>
      </c>
      <c r="BI6" s="2">
        <f t="shared" si="4"/>
        <v>0</v>
      </c>
      <c r="BJ6" s="2">
        <f t="shared" si="4"/>
        <v>0</v>
      </c>
      <c r="BK6" s="2">
        <f t="shared" si="4"/>
        <v>0</v>
      </c>
      <c r="BL6" s="2">
        <f t="shared" si="4"/>
        <v>0</v>
      </c>
      <c r="BM6" s="2">
        <f t="shared" si="4"/>
        <v>0</v>
      </c>
      <c r="BN6" s="2">
        <f t="shared" si="4"/>
        <v>0</v>
      </c>
      <c r="BO6" s="2">
        <f t="shared" si="4"/>
        <v>0</v>
      </c>
      <c r="BP6" s="2">
        <f t="shared" si="4"/>
        <v>0</v>
      </c>
      <c r="BQ6" s="2">
        <f t="shared" si="4"/>
        <v>0</v>
      </c>
      <c r="BR6" s="2">
        <f t="shared" si="4"/>
        <v>0</v>
      </c>
      <c r="BS6" s="2">
        <f t="shared" si="4"/>
        <v>0</v>
      </c>
      <c r="BT6" s="2">
        <f t="shared" si="4"/>
        <v>0</v>
      </c>
      <c r="BU6" s="2">
        <f t="shared" si="4"/>
        <v>0</v>
      </c>
      <c r="BV6" s="2">
        <f t="shared" si="4"/>
        <v>0</v>
      </c>
      <c r="BW6" s="2">
        <f t="shared" si="4"/>
        <v>0</v>
      </c>
      <c r="BX6" s="2">
        <f t="shared" si="4"/>
        <v>0</v>
      </c>
      <c r="BY6" s="2">
        <f t="shared" si="9"/>
        <v>0</v>
      </c>
      <c r="CB6" s="21"/>
      <c r="CC6" s="2">
        <v>32</v>
      </c>
      <c r="CD6" s="3">
        <f t="shared" si="10"/>
        <v>3.125E-2</v>
      </c>
      <c r="CE6" s="3">
        <f t="shared" si="5"/>
        <v>3.125E-2</v>
      </c>
      <c r="CF6" s="3">
        <f t="shared" si="5"/>
        <v>3.125E-2</v>
      </c>
      <c r="CG6" s="3">
        <f t="shared" si="5"/>
        <v>6.25E-2</v>
      </c>
      <c r="CH6" s="3">
        <f t="shared" si="5"/>
        <v>6.25E-2</v>
      </c>
      <c r="CI6" s="3">
        <f t="shared" si="5"/>
        <v>6.25E-2</v>
      </c>
      <c r="CJ6" s="3">
        <f t="shared" si="5"/>
        <v>3.125E-2</v>
      </c>
      <c r="CK6" s="3">
        <f t="shared" si="5"/>
        <v>9.375E-2</v>
      </c>
      <c r="CL6" s="3">
        <f t="shared" si="5"/>
        <v>3.125E-2</v>
      </c>
      <c r="CM6" s="3">
        <f t="shared" si="5"/>
        <v>6.25E-2</v>
      </c>
      <c r="CN6" s="3">
        <f t="shared" si="5"/>
        <v>6.25E-2</v>
      </c>
      <c r="CO6" s="3">
        <f t="shared" si="5"/>
        <v>3.125E-2</v>
      </c>
      <c r="CP6" s="3">
        <f t="shared" si="5"/>
        <v>6.25E-2</v>
      </c>
      <c r="CQ6" s="3">
        <f t="shared" si="5"/>
        <v>6.25E-2</v>
      </c>
      <c r="CR6" s="3">
        <f t="shared" si="5"/>
        <v>3.125E-2</v>
      </c>
      <c r="CS6" s="3">
        <f t="shared" si="5"/>
        <v>9.375E-2</v>
      </c>
      <c r="CT6" s="3">
        <f t="shared" si="5"/>
        <v>6.25E-2</v>
      </c>
      <c r="CU6" s="3">
        <f t="shared" si="5"/>
        <v>3.125E-2</v>
      </c>
      <c r="CV6" s="3">
        <f t="shared" si="5"/>
        <v>6.25E-2</v>
      </c>
      <c r="CW6" s="3">
        <f t="shared" si="5"/>
        <v>3.125E-2</v>
      </c>
      <c r="CX6" s="3">
        <f t="shared" si="5"/>
        <v>3.125E-2</v>
      </c>
      <c r="CY6" s="3">
        <f t="shared" si="5"/>
        <v>6.25E-2</v>
      </c>
      <c r="CZ6" s="3">
        <f t="shared" si="5"/>
        <v>3.125E-2</v>
      </c>
      <c r="DA6" s="3">
        <f t="shared" si="5"/>
        <v>3.125E-2</v>
      </c>
      <c r="DB6" s="3">
        <f t="shared" si="5"/>
        <v>9.375E-2</v>
      </c>
      <c r="DC6" s="3">
        <f t="shared" si="5"/>
        <v>3.125E-2</v>
      </c>
      <c r="DD6" s="3">
        <f t="shared" si="5"/>
        <v>9.375E-2</v>
      </c>
      <c r="DE6" s="3">
        <f t="shared" si="5"/>
        <v>6.25E-2</v>
      </c>
      <c r="DF6" s="3">
        <f t="shared" si="5"/>
        <v>3.125E-2</v>
      </c>
      <c r="DG6" s="3">
        <f t="shared" si="5"/>
        <v>3.125E-2</v>
      </c>
      <c r="DH6" s="3">
        <f t="shared" si="5"/>
        <v>9.375E-2</v>
      </c>
      <c r="DI6" s="3">
        <f t="shared" si="5"/>
        <v>6.25E-2</v>
      </c>
      <c r="DJ6" s="3">
        <f t="shared" si="5"/>
        <v>3.125E-2</v>
      </c>
      <c r="DK6" s="3">
        <f t="shared" si="5"/>
        <v>3.125E-2</v>
      </c>
      <c r="DL6" s="3">
        <f t="shared" si="5"/>
        <v>3.125E-2</v>
      </c>
      <c r="DM6" s="3">
        <f t="shared" si="5"/>
        <v>6.25E-2</v>
      </c>
      <c r="DN6" s="3">
        <f t="shared" si="5"/>
        <v>3.125E-2</v>
      </c>
      <c r="DO6" s="3">
        <f t="shared" si="5"/>
        <v>3.125E-2</v>
      </c>
      <c r="DP6" s="3">
        <f t="shared" si="5"/>
        <v>3.125E-2</v>
      </c>
      <c r="DQ6" s="3">
        <f t="shared" si="5"/>
        <v>3.125E-2</v>
      </c>
      <c r="DR6" s="3">
        <f t="shared" si="5"/>
        <v>3.125E-2</v>
      </c>
      <c r="DS6" s="2">
        <v>2</v>
      </c>
    </row>
    <row r="7" spans="1:125" x14ac:dyDescent="0.3">
      <c r="A7" s="2">
        <v>36</v>
      </c>
      <c r="B7" s="4">
        <v>6</v>
      </c>
      <c r="C7" s="6">
        <v>65</v>
      </c>
      <c r="D7" s="21"/>
      <c r="E7" s="2">
        <v>55</v>
      </c>
      <c r="F7" s="2">
        <f t="shared" si="6"/>
        <v>0</v>
      </c>
      <c r="G7" s="2">
        <f t="shared" si="0"/>
        <v>0</v>
      </c>
      <c r="H7" s="2">
        <f t="shared" si="0"/>
        <v>0</v>
      </c>
      <c r="I7" s="2">
        <f t="shared" si="0"/>
        <v>0</v>
      </c>
      <c r="J7" s="2">
        <f t="shared" si="0"/>
        <v>0</v>
      </c>
      <c r="K7" s="2">
        <f t="shared" si="0"/>
        <v>0</v>
      </c>
      <c r="L7" s="2">
        <f t="shared" si="0"/>
        <v>0</v>
      </c>
      <c r="M7" s="2">
        <f t="shared" si="0"/>
        <v>0</v>
      </c>
      <c r="N7" s="2">
        <f t="shared" si="0"/>
        <v>0</v>
      </c>
      <c r="O7" s="2">
        <f t="shared" si="0"/>
        <v>0</v>
      </c>
      <c r="P7" s="2">
        <f t="shared" si="1"/>
        <v>0</v>
      </c>
      <c r="R7" s="21"/>
      <c r="S7" s="2">
        <v>57</v>
      </c>
      <c r="T7" s="2">
        <f t="shared" si="7"/>
        <v>0.34399999999999997</v>
      </c>
      <c r="U7" s="2">
        <f t="shared" si="3"/>
        <v>0.188</v>
      </c>
      <c r="V7" s="2">
        <f t="shared" si="3"/>
        <v>0.156</v>
      </c>
      <c r="W7" s="2">
        <f t="shared" si="3"/>
        <v>0.25</v>
      </c>
      <c r="X7" s="2">
        <f t="shared" si="3"/>
        <v>0.156</v>
      </c>
      <c r="Y7" s="2">
        <f t="shared" si="3"/>
        <v>0.156</v>
      </c>
      <c r="Z7" s="2">
        <f t="shared" si="3"/>
        <v>0.125</v>
      </c>
      <c r="AA7" s="2">
        <f t="shared" si="3"/>
        <v>0.156</v>
      </c>
      <c r="AB7" s="2">
        <f t="shared" si="3"/>
        <v>0.219</v>
      </c>
      <c r="AC7" s="2">
        <f t="shared" si="3"/>
        <v>0.25</v>
      </c>
      <c r="AD7" s="2">
        <v>2</v>
      </c>
      <c r="AF7" t="str">
        <f>"Correlazion Age VS Number of cats:"&amp;ROUND(PEARSON(A2:A65,B2:B65),3)</f>
        <v>Correlazion Age VS Number of cats:-0,08</v>
      </c>
      <c r="AH7" s="21"/>
      <c r="AI7" s="2">
        <v>57</v>
      </c>
      <c r="AJ7" s="2">
        <f t="shared" si="8"/>
        <v>0</v>
      </c>
      <c r="AK7" s="2">
        <f t="shared" si="4"/>
        <v>0</v>
      </c>
      <c r="AL7" s="2">
        <f t="shared" si="4"/>
        <v>0</v>
      </c>
      <c r="AM7" s="2">
        <f t="shared" si="4"/>
        <v>0</v>
      </c>
      <c r="AN7" s="2">
        <f t="shared" si="4"/>
        <v>0</v>
      </c>
      <c r="AO7" s="2">
        <f t="shared" si="4"/>
        <v>0</v>
      </c>
      <c r="AP7" s="2">
        <f t="shared" si="4"/>
        <v>0</v>
      </c>
      <c r="AQ7" s="2">
        <f t="shared" si="4"/>
        <v>0</v>
      </c>
      <c r="AR7" s="2">
        <f t="shared" si="4"/>
        <v>0</v>
      </c>
      <c r="AS7" s="2">
        <f t="shared" si="4"/>
        <v>0</v>
      </c>
      <c r="AT7" s="2">
        <f t="shared" si="4"/>
        <v>0</v>
      </c>
      <c r="AU7" s="2">
        <f t="shared" si="4"/>
        <v>0</v>
      </c>
      <c r="AV7" s="2">
        <f t="shared" si="4"/>
        <v>1</v>
      </c>
      <c r="AW7" s="2">
        <f t="shared" si="4"/>
        <v>0</v>
      </c>
      <c r="AX7" s="2">
        <f t="shared" si="4"/>
        <v>0</v>
      </c>
      <c r="AY7" s="2">
        <f t="shared" si="4"/>
        <v>0</v>
      </c>
      <c r="AZ7" s="2">
        <f t="shared" si="4"/>
        <v>0</v>
      </c>
      <c r="BA7" s="2">
        <f t="shared" si="4"/>
        <v>0</v>
      </c>
      <c r="BB7" s="2">
        <f t="shared" si="4"/>
        <v>0</v>
      </c>
      <c r="BC7" s="2">
        <f t="shared" si="4"/>
        <v>0</v>
      </c>
      <c r="BD7" s="2">
        <f t="shared" si="4"/>
        <v>0</v>
      </c>
      <c r="BE7" s="2">
        <f t="shared" si="4"/>
        <v>0</v>
      </c>
      <c r="BF7" s="2">
        <f t="shared" si="4"/>
        <v>0</v>
      </c>
      <c r="BG7" s="2">
        <f t="shared" si="4"/>
        <v>0</v>
      </c>
      <c r="BH7" s="2">
        <f t="shared" si="4"/>
        <v>0</v>
      </c>
      <c r="BI7" s="2">
        <f t="shared" si="4"/>
        <v>0</v>
      </c>
      <c r="BJ7" s="2">
        <f t="shared" si="4"/>
        <v>0</v>
      </c>
      <c r="BK7" s="2">
        <f t="shared" si="4"/>
        <v>0</v>
      </c>
      <c r="BL7" s="2">
        <f t="shared" si="4"/>
        <v>0</v>
      </c>
      <c r="BM7" s="2">
        <f t="shared" si="4"/>
        <v>0</v>
      </c>
      <c r="BN7" s="2">
        <f t="shared" si="4"/>
        <v>0</v>
      </c>
      <c r="BO7" s="2">
        <f t="shared" si="4"/>
        <v>0</v>
      </c>
      <c r="BP7" s="2">
        <f t="shared" si="4"/>
        <v>0</v>
      </c>
      <c r="BQ7" s="2">
        <f t="shared" si="4"/>
        <v>0</v>
      </c>
      <c r="BR7" s="2">
        <f t="shared" si="4"/>
        <v>0</v>
      </c>
      <c r="BS7" s="2">
        <f t="shared" si="4"/>
        <v>0</v>
      </c>
      <c r="BT7" s="2">
        <f t="shared" si="4"/>
        <v>0</v>
      </c>
      <c r="BU7" s="2">
        <f t="shared" si="4"/>
        <v>0</v>
      </c>
      <c r="BV7" s="2">
        <f t="shared" si="4"/>
        <v>0</v>
      </c>
      <c r="BW7" s="2">
        <f t="shared" si="4"/>
        <v>0</v>
      </c>
      <c r="BX7" s="2">
        <f t="shared" si="4"/>
        <v>1</v>
      </c>
      <c r="BY7" s="2">
        <f t="shared" si="9"/>
        <v>2</v>
      </c>
      <c r="CB7" s="21"/>
      <c r="CC7" s="2">
        <v>57</v>
      </c>
      <c r="CD7" s="3">
        <f t="shared" si="10"/>
        <v>3.125E-2</v>
      </c>
      <c r="CE7" s="3">
        <f t="shared" si="5"/>
        <v>3.125E-2</v>
      </c>
      <c r="CF7" s="3">
        <f t="shared" si="5"/>
        <v>3.125E-2</v>
      </c>
      <c r="CG7" s="3">
        <f t="shared" si="5"/>
        <v>6.25E-2</v>
      </c>
      <c r="CH7" s="3">
        <f t="shared" si="5"/>
        <v>6.25E-2</v>
      </c>
      <c r="CI7" s="3">
        <f t="shared" si="5"/>
        <v>6.25E-2</v>
      </c>
      <c r="CJ7" s="3">
        <f t="shared" si="5"/>
        <v>3.125E-2</v>
      </c>
      <c r="CK7" s="3">
        <f t="shared" si="5"/>
        <v>9.375E-2</v>
      </c>
      <c r="CL7" s="3">
        <f t="shared" si="5"/>
        <v>3.125E-2</v>
      </c>
      <c r="CM7" s="3">
        <f t="shared" si="5"/>
        <v>6.25E-2</v>
      </c>
      <c r="CN7" s="3">
        <f t="shared" si="5"/>
        <v>6.25E-2</v>
      </c>
      <c r="CO7" s="3">
        <f t="shared" si="5"/>
        <v>3.125E-2</v>
      </c>
      <c r="CP7" s="3">
        <f t="shared" si="5"/>
        <v>6.25E-2</v>
      </c>
      <c r="CQ7" s="3">
        <f t="shared" si="5"/>
        <v>6.25E-2</v>
      </c>
      <c r="CR7" s="3">
        <f t="shared" si="5"/>
        <v>3.125E-2</v>
      </c>
      <c r="CS7" s="3">
        <f t="shared" si="5"/>
        <v>9.375E-2</v>
      </c>
      <c r="CT7" s="3">
        <f t="shared" si="5"/>
        <v>6.25E-2</v>
      </c>
      <c r="CU7" s="3">
        <f t="shared" si="5"/>
        <v>3.125E-2</v>
      </c>
      <c r="CV7" s="3">
        <f t="shared" si="5"/>
        <v>6.25E-2</v>
      </c>
      <c r="CW7" s="3">
        <f t="shared" si="5"/>
        <v>3.125E-2</v>
      </c>
      <c r="CX7" s="3">
        <f t="shared" si="5"/>
        <v>3.125E-2</v>
      </c>
      <c r="CY7" s="3">
        <f t="shared" si="5"/>
        <v>6.25E-2</v>
      </c>
      <c r="CZ7" s="3">
        <f t="shared" si="5"/>
        <v>3.125E-2</v>
      </c>
      <c r="DA7" s="3">
        <f t="shared" si="5"/>
        <v>3.125E-2</v>
      </c>
      <c r="DB7" s="3">
        <f t="shared" si="5"/>
        <v>9.375E-2</v>
      </c>
      <c r="DC7" s="3">
        <f t="shared" si="5"/>
        <v>3.125E-2</v>
      </c>
      <c r="DD7" s="3">
        <f t="shared" si="5"/>
        <v>9.375E-2</v>
      </c>
      <c r="DE7" s="3">
        <f t="shared" si="5"/>
        <v>6.25E-2</v>
      </c>
      <c r="DF7" s="3">
        <f t="shared" si="5"/>
        <v>3.125E-2</v>
      </c>
      <c r="DG7" s="3">
        <f t="shared" si="5"/>
        <v>3.125E-2</v>
      </c>
      <c r="DH7" s="3">
        <f t="shared" si="5"/>
        <v>9.375E-2</v>
      </c>
      <c r="DI7" s="3">
        <f t="shared" si="5"/>
        <v>6.25E-2</v>
      </c>
      <c r="DJ7" s="3">
        <f t="shared" si="5"/>
        <v>3.125E-2</v>
      </c>
      <c r="DK7" s="3">
        <f t="shared" si="5"/>
        <v>3.125E-2</v>
      </c>
      <c r="DL7" s="3">
        <f t="shared" si="5"/>
        <v>3.125E-2</v>
      </c>
      <c r="DM7" s="3">
        <f t="shared" si="5"/>
        <v>6.25E-2</v>
      </c>
      <c r="DN7" s="3">
        <f t="shared" si="5"/>
        <v>3.125E-2</v>
      </c>
      <c r="DO7" s="3">
        <f t="shared" si="5"/>
        <v>3.125E-2</v>
      </c>
      <c r="DP7" s="3">
        <f t="shared" si="5"/>
        <v>3.125E-2</v>
      </c>
      <c r="DQ7" s="3">
        <f t="shared" si="5"/>
        <v>3.125E-2</v>
      </c>
      <c r="DR7" s="3">
        <f t="shared" si="5"/>
        <v>3.125E-2</v>
      </c>
      <c r="DS7" s="2">
        <v>2</v>
      </c>
    </row>
    <row r="8" spans="1:125" x14ac:dyDescent="0.3">
      <c r="A8" s="2">
        <v>30</v>
      </c>
      <c r="B8" s="4">
        <v>6</v>
      </c>
      <c r="C8" s="6">
        <v>46</v>
      </c>
      <c r="D8" s="21"/>
      <c r="E8" s="2">
        <v>36</v>
      </c>
      <c r="F8" s="2">
        <f t="shared" si="6"/>
        <v>0</v>
      </c>
      <c r="G8" s="2">
        <f t="shared" si="0"/>
        <v>0</v>
      </c>
      <c r="H8" s="2">
        <f t="shared" si="0"/>
        <v>0</v>
      </c>
      <c r="I8" s="2">
        <f t="shared" si="0"/>
        <v>0</v>
      </c>
      <c r="J8" s="2">
        <f t="shared" si="0"/>
        <v>0</v>
      </c>
      <c r="K8" s="2">
        <f t="shared" si="0"/>
        <v>1</v>
      </c>
      <c r="L8" s="2">
        <f t="shared" si="0"/>
        <v>0</v>
      </c>
      <c r="M8" s="2">
        <f t="shared" si="0"/>
        <v>0</v>
      </c>
      <c r="N8" s="2">
        <f t="shared" si="0"/>
        <v>0</v>
      </c>
      <c r="O8" s="2">
        <f t="shared" si="0"/>
        <v>0</v>
      </c>
      <c r="P8" s="2">
        <f t="shared" si="1"/>
        <v>1</v>
      </c>
      <c r="R8" s="21"/>
      <c r="S8" s="2">
        <v>46</v>
      </c>
      <c r="T8" s="2">
        <f t="shared" si="7"/>
        <v>0.17199999999999999</v>
      </c>
      <c r="U8" s="2">
        <f t="shared" si="3"/>
        <v>9.4E-2</v>
      </c>
      <c r="V8" s="2">
        <f t="shared" si="3"/>
        <v>7.8E-2</v>
      </c>
      <c r="W8" s="2">
        <f t="shared" si="3"/>
        <v>0.125</v>
      </c>
      <c r="X8" s="2">
        <f t="shared" si="3"/>
        <v>7.8E-2</v>
      </c>
      <c r="Y8" s="2">
        <f t="shared" si="3"/>
        <v>7.8E-2</v>
      </c>
      <c r="Z8" s="2">
        <f t="shared" si="3"/>
        <v>6.3E-2</v>
      </c>
      <c r="AA8" s="2">
        <f t="shared" si="3"/>
        <v>7.8E-2</v>
      </c>
      <c r="AB8" s="2">
        <f t="shared" si="3"/>
        <v>0.109</v>
      </c>
      <c r="AC8" s="2">
        <f t="shared" si="3"/>
        <v>0.125</v>
      </c>
      <c r="AD8" s="2">
        <v>1</v>
      </c>
      <c r="AF8" t="s">
        <v>28</v>
      </c>
      <c r="AH8" s="21"/>
      <c r="AI8" s="2">
        <v>46</v>
      </c>
      <c r="AJ8" s="2">
        <f t="shared" si="8"/>
        <v>0</v>
      </c>
      <c r="AK8" s="2">
        <f t="shared" si="4"/>
        <v>0</v>
      </c>
      <c r="AL8" s="2">
        <f t="shared" si="4"/>
        <v>0</v>
      </c>
      <c r="AM8" s="2">
        <f t="shared" si="4"/>
        <v>0</v>
      </c>
      <c r="AN8" s="2">
        <f t="shared" si="4"/>
        <v>0</v>
      </c>
      <c r="AO8" s="2">
        <f t="shared" si="4"/>
        <v>0</v>
      </c>
      <c r="AP8" s="2">
        <f t="shared" si="4"/>
        <v>0</v>
      </c>
      <c r="AQ8" s="2">
        <f t="shared" si="4"/>
        <v>0</v>
      </c>
      <c r="AR8" s="2">
        <f t="shared" si="4"/>
        <v>0</v>
      </c>
      <c r="AS8" s="2">
        <f t="shared" si="4"/>
        <v>0</v>
      </c>
      <c r="AT8" s="2">
        <f t="shared" si="4"/>
        <v>0</v>
      </c>
      <c r="AU8" s="2">
        <f t="shared" si="4"/>
        <v>0</v>
      </c>
      <c r="AV8" s="2">
        <f t="shared" si="4"/>
        <v>0</v>
      </c>
      <c r="AW8" s="2">
        <f t="shared" si="4"/>
        <v>0</v>
      </c>
      <c r="AX8" s="2">
        <f t="shared" si="4"/>
        <v>0</v>
      </c>
      <c r="AY8" s="2">
        <f t="shared" si="4"/>
        <v>0</v>
      </c>
      <c r="AZ8" s="2">
        <f t="shared" si="4"/>
        <v>0</v>
      </c>
      <c r="BA8" s="2">
        <f t="shared" si="4"/>
        <v>0</v>
      </c>
      <c r="BB8" s="2">
        <f t="shared" si="4"/>
        <v>0</v>
      </c>
      <c r="BC8" s="2">
        <f t="shared" si="4"/>
        <v>0</v>
      </c>
      <c r="BD8" s="2">
        <f t="shared" si="4"/>
        <v>0</v>
      </c>
      <c r="BE8" s="2">
        <f t="shared" si="4"/>
        <v>0</v>
      </c>
      <c r="BF8" s="2">
        <f t="shared" si="4"/>
        <v>0</v>
      </c>
      <c r="BG8" s="2">
        <f t="shared" si="4"/>
        <v>0</v>
      </c>
      <c r="BH8" s="2">
        <f t="shared" si="4"/>
        <v>0</v>
      </c>
      <c r="BI8" s="2">
        <f t="shared" si="4"/>
        <v>0</v>
      </c>
      <c r="BJ8" s="2">
        <f t="shared" si="4"/>
        <v>0</v>
      </c>
      <c r="BK8" s="2">
        <f t="shared" si="4"/>
        <v>0</v>
      </c>
      <c r="BL8" s="2">
        <f t="shared" si="4"/>
        <v>0</v>
      </c>
      <c r="BM8" s="2">
        <f t="shared" si="4"/>
        <v>0</v>
      </c>
      <c r="BN8" s="2">
        <f t="shared" si="4"/>
        <v>0</v>
      </c>
      <c r="BO8" s="2">
        <f t="shared" si="4"/>
        <v>0</v>
      </c>
      <c r="BP8" s="2">
        <f t="shared" si="4"/>
        <v>0</v>
      </c>
      <c r="BQ8" s="2">
        <f t="shared" si="4"/>
        <v>0</v>
      </c>
      <c r="BR8" s="2">
        <f t="shared" si="4"/>
        <v>0</v>
      </c>
      <c r="BS8" s="2">
        <f t="shared" si="4"/>
        <v>0</v>
      </c>
      <c r="BT8" s="2">
        <f t="shared" si="4"/>
        <v>0</v>
      </c>
      <c r="BU8" s="2">
        <f t="shared" si="4"/>
        <v>0</v>
      </c>
      <c r="BV8" s="2">
        <f t="shared" si="4"/>
        <v>0</v>
      </c>
      <c r="BW8" s="2">
        <f t="shared" si="4"/>
        <v>0</v>
      </c>
      <c r="BX8" s="2">
        <f t="shared" si="4"/>
        <v>0</v>
      </c>
      <c r="BY8" s="2">
        <f t="shared" si="9"/>
        <v>0</v>
      </c>
      <c r="CB8" s="21"/>
      <c r="CC8" s="2">
        <v>46</v>
      </c>
      <c r="CD8" s="3">
        <f t="shared" si="10"/>
        <v>1.5625E-2</v>
      </c>
      <c r="CE8" s="3">
        <f t="shared" si="5"/>
        <v>1.5625E-2</v>
      </c>
      <c r="CF8" s="3">
        <f t="shared" si="5"/>
        <v>1.5625E-2</v>
      </c>
      <c r="CG8" s="3">
        <f t="shared" si="5"/>
        <v>3.125E-2</v>
      </c>
      <c r="CH8" s="3">
        <f t="shared" si="5"/>
        <v>3.125E-2</v>
      </c>
      <c r="CI8" s="3">
        <f t="shared" si="5"/>
        <v>3.125E-2</v>
      </c>
      <c r="CJ8" s="3">
        <f t="shared" si="5"/>
        <v>1.5625E-2</v>
      </c>
      <c r="CK8" s="3">
        <f t="shared" si="5"/>
        <v>4.6875E-2</v>
      </c>
      <c r="CL8" s="3">
        <f t="shared" si="5"/>
        <v>1.5625E-2</v>
      </c>
      <c r="CM8" s="3">
        <f t="shared" si="5"/>
        <v>3.125E-2</v>
      </c>
      <c r="CN8" s="3">
        <f t="shared" si="5"/>
        <v>3.125E-2</v>
      </c>
      <c r="CO8" s="3">
        <f t="shared" si="5"/>
        <v>1.5625E-2</v>
      </c>
      <c r="CP8" s="3">
        <f t="shared" si="5"/>
        <v>3.125E-2</v>
      </c>
      <c r="CQ8" s="3">
        <f t="shared" si="5"/>
        <v>3.125E-2</v>
      </c>
      <c r="CR8" s="3">
        <f t="shared" si="5"/>
        <v>1.5625E-2</v>
      </c>
      <c r="CS8" s="3">
        <f t="shared" si="5"/>
        <v>4.6875E-2</v>
      </c>
      <c r="CT8" s="3">
        <f t="shared" si="5"/>
        <v>3.125E-2</v>
      </c>
      <c r="CU8" s="3">
        <f t="shared" si="5"/>
        <v>1.5625E-2</v>
      </c>
      <c r="CV8" s="3">
        <f t="shared" si="5"/>
        <v>3.125E-2</v>
      </c>
      <c r="CW8" s="3">
        <f t="shared" si="5"/>
        <v>1.5625E-2</v>
      </c>
      <c r="CX8" s="3">
        <f t="shared" si="5"/>
        <v>1.5625E-2</v>
      </c>
      <c r="CY8" s="3">
        <f t="shared" si="5"/>
        <v>3.125E-2</v>
      </c>
      <c r="CZ8" s="3">
        <f t="shared" si="5"/>
        <v>1.5625E-2</v>
      </c>
      <c r="DA8" s="3">
        <f t="shared" si="5"/>
        <v>1.5625E-2</v>
      </c>
      <c r="DB8" s="3">
        <f t="shared" si="5"/>
        <v>4.6875E-2</v>
      </c>
      <c r="DC8" s="3">
        <f t="shared" si="5"/>
        <v>1.5625E-2</v>
      </c>
      <c r="DD8" s="3">
        <f t="shared" si="5"/>
        <v>4.6875E-2</v>
      </c>
      <c r="DE8" s="3">
        <f t="shared" si="5"/>
        <v>3.125E-2</v>
      </c>
      <c r="DF8" s="3">
        <f t="shared" si="5"/>
        <v>1.5625E-2</v>
      </c>
      <c r="DG8" s="3">
        <f t="shared" si="5"/>
        <v>1.5625E-2</v>
      </c>
      <c r="DH8" s="3">
        <f t="shared" si="5"/>
        <v>4.6875E-2</v>
      </c>
      <c r="DI8" s="3">
        <f t="shared" si="5"/>
        <v>3.125E-2</v>
      </c>
      <c r="DJ8" s="3">
        <f t="shared" si="5"/>
        <v>1.5625E-2</v>
      </c>
      <c r="DK8" s="3">
        <f t="shared" si="5"/>
        <v>1.5625E-2</v>
      </c>
      <c r="DL8" s="3">
        <f t="shared" si="5"/>
        <v>1.5625E-2</v>
      </c>
      <c r="DM8" s="3">
        <f t="shared" si="5"/>
        <v>3.125E-2</v>
      </c>
      <c r="DN8" s="3">
        <f t="shared" si="5"/>
        <v>1.5625E-2</v>
      </c>
      <c r="DO8" s="3">
        <f t="shared" si="5"/>
        <v>1.5625E-2</v>
      </c>
      <c r="DP8" s="3">
        <f t="shared" si="5"/>
        <v>1.5625E-2</v>
      </c>
      <c r="DQ8" s="3">
        <f t="shared" si="5"/>
        <v>1.5625E-2</v>
      </c>
      <c r="DR8" s="3">
        <f t="shared" si="5"/>
        <v>1.5625E-2</v>
      </c>
      <c r="DS8" s="2">
        <v>1</v>
      </c>
      <c r="DU8" t="str">
        <f>"Correlazion Age VS Number of cats:"&amp;ROUND(PEARSON(A2:A65,C2:C65),3)</f>
        <v>Correlazion Age VS Number of cats:-0,011</v>
      </c>
    </row>
    <row r="9" spans="1:125" x14ac:dyDescent="0.3">
      <c r="A9" s="2">
        <v>31</v>
      </c>
      <c r="B9" s="4">
        <v>7</v>
      </c>
      <c r="C9" s="6">
        <v>75</v>
      </c>
      <c r="D9" s="21"/>
      <c r="E9" s="2">
        <v>30</v>
      </c>
      <c r="F9" s="2">
        <f t="shared" si="6"/>
        <v>0</v>
      </c>
      <c r="G9" s="2">
        <f t="shared" si="0"/>
        <v>0</v>
      </c>
      <c r="H9" s="2">
        <f t="shared" si="0"/>
        <v>0</v>
      </c>
      <c r="I9" s="2">
        <f t="shared" si="0"/>
        <v>0</v>
      </c>
      <c r="J9" s="2">
        <f t="shared" si="0"/>
        <v>0</v>
      </c>
      <c r="K9" s="2">
        <f t="shared" si="0"/>
        <v>1</v>
      </c>
      <c r="L9" s="2">
        <f t="shared" si="0"/>
        <v>0</v>
      </c>
      <c r="M9" s="2">
        <f t="shared" si="0"/>
        <v>0</v>
      </c>
      <c r="N9" s="2">
        <f t="shared" si="0"/>
        <v>0</v>
      </c>
      <c r="O9" s="2">
        <f t="shared" si="0"/>
        <v>0</v>
      </c>
      <c r="P9" s="2">
        <f t="shared" si="1"/>
        <v>1</v>
      </c>
      <c r="R9" s="21"/>
      <c r="S9" s="2">
        <v>26</v>
      </c>
      <c r="T9" s="2">
        <f t="shared" si="7"/>
        <v>0.34399999999999997</v>
      </c>
      <c r="U9" s="2">
        <f t="shared" si="3"/>
        <v>0.188</v>
      </c>
      <c r="V9" s="2">
        <f t="shared" si="3"/>
        <v>0.156</v>
      </c>
      <c r="W9" s="2">
        <f t="shared" si="3"/>
        <v>0.25</v>
      </c>
      <c r="X9" s="2">
        <f t="shared" si="3"/>
        <v>0.156</v>
      </c>
      <c r="Y9" s="2">
        <f t="shared" si="3"/>
        <v>0.156</v>
      </c>
      <c r="Z9" s="2">
        <f t="shared" si="3"/>
        <v>0.125</v>
      </c>
      <c r="AA9" s="2">
        <f t="shared" si="3"/>
        <v>0.156</v>
      </c>
      <c r="AB9" s="2">
        <f t="shared" si="3"/>
        <v>0.219</v>
      </c>
      <c r="AC9" s="2">
        <f t="shared" si="3"/>
        <v>0.25</v>
      </c>
      <c r="AD9" s="2">
        <v>2</v>
      </c>
      <c r="AH9" s="21"/>
      <c r="AI9" s="2">
        <v>26</v>
      </c>
      <c r="AJ9" s="2">
        <f t="shared" si="8"/>
        <v>0</v>
      </c>
      <c r="AK9" s="2">
        <f t="shared" si="4"/>
        <v>0</v>
      </c>
      <c r="AL9" s="2">
        <f t="shared" si="4"/>
        <v>0</v>
      </c>
      <c r="AM9" s="2">
        <f t="shared" si="4"/>
        <v>0</v>
      </c>
      <c r="AN9" s="2">
        <f t="shared" si="4"/>
        <v>0</v>
      </c>
      <c r="AO9" s="2">
        <f t="shared" si="4"/>
        <v>0</v>
      </c>
      <c r="AP9" s="2">
        <f t="shared" si="4"/>
        <v>0</v>
      </c>
      <c r="AQ9" s="2">
        <f t="shared" si="4"/>
        <v>0</v>
      </c>
      <c r="AR9" s="2">
        <f t="shared" si="4"/>
        <v>0</v>
      </c>
      <c r="AS9" s="2">
        <f t="shared" si="4"/>
        <v>0</v>
      </c>
      <c r="AT9" s="2">
        <f t="shared" si="4"/>
        <v>0</v>
      </c>
      <c r="AU9" s="2">
        <f t="shared" si="4"/>
        <v>0</v>
      </c>
      <c r="AV9" s="2">
        <f t="shared" si="4"/>
        <v>0</v>
      </c>
      <c r="AW9" s="2">
        <f t="shared" si="4"/>
        <v>0</v>
      </c>
      <c r="AX9" s="2">
        <f t="shared" si="4"/>
        <v>0</v>
      </c>
      <c r="AY9" s="2">
        <f t="shared" si="4"/>
        <v>0</v>
      </c>
      <c r="AZ9" s="2">
        <f t="shared" si="4"/>
        <v>0</v>
      </c>
      <c r="BA9" s="2">
        <f t="shared" si="4"/>
        <v>0</v>
      </c>
      <c r="BB9" s="2">
        <f t="shared" si="4"/>
        <v>0</v>
      </c>
      <c r="BC9" s="2">
        <f t="shared" si="4"/>
        <v>0</v>
      </c>
      <c r="BD9" s="2">
        <f t="shared" si="4"/>
        <v>0</v>
      </c>
      <c r="BE9" s="2">
        <f t="shared" si="4"/>
        <v>0</v>
      </c>
      <c r="BF9" s="2">
        <f t="shared" si="4"/>
        <v>0</v>
      </c>
      <c r="BG9" s="2">
        <f t="shared" si="4"/>
        <v>0</v>
      </c>
      <c r="BH9" s="2">
        <f t="shared" si="4"/>
        <v>0</v>
      </c>
      <c r="BI9" s="2">
        <f t="shared" si="4"/>
        <v>0</v>
      </c>
      <c r="BJ9" s="2">
        <f t="shared" si="4"/>
        <v>0</v>
      </c>
      <c r="BK9" s="2">
        <f t="shared" si="4"/>
        <v>0</v>
      </c>
      <c r="BL9" s="2">
        <f t="shared" si="4"/>
        <v>0</v>
      </c>
      <c r="BM9" s="2">
        <f t="shared" si="4"/>
        <v>0</v>
      </c>
      <c r="BN9" s="2">
        <f t="shared" si="4"/>
        <v>0</v>
      </c>
      <c r="BO9" s="2">
        <f t="shared" si="4"/>
        <v>0</v>
      </c>
      <c r="BP9" s="2">
        <f t="shared" si="4"/>
        <v>0</v>
      </c>
      <c r="BQ9" s="2">
        <f t="shared" si="4"/>
        <v>0</v>
      </c>
      <c r="BR9" s="2">
        <f t="shared" si="4"/>
        <v>0</v>
      </c>
      <c r="BS9" s="2">
        <f t="shared" si="4"/>
        <v>0</v>
      </c>
      <c r="BT9" s="2">
        <f t="shared" si="4"/>
        <v>0</v>
      </c>
      <c r="BU9" s="2">
        <f t="shared" si="4"/>
        <v>0</v>
      </c>
      <c r="BV9" s="2">
        <f t="shared" si="4"/>
        <v>0</v>
      </c>
      <c r="BW9" s="2">
        <f t="shared" si="4"/>
        <v>0</v>
      </c>
      <c r="BX9" s="2">
        <f t="shared" si="4"/>
        <v>0</v>
      </c>
      <c r="BY9" s="2">
        <f t="shared" si="9"/>
        <v>0</v>
      </c>
      <c r="CB9" s="21"/>
      <c r="CC9" s="2">
        <v>26</v>
      </c>
      <c r="CD9" s="3">
        <f t="shared" si="10"/>
        <v>3.125E-2</v>
      </c>
      <c r="CE9" s="3">
        <f t="shared" si="5"/>
        <v>3.125E-2</v>
      </c>
      <c r="CF9" s="3">
        <f t="shared" si="5"/>
        <v>3.125E-2</v>
      </c>
      <c r="CG9" s="3">
        <f t="shared" si="5"/>
        <v>6.25E-2</v>
      </c>
      <c r="CH9" s="3">
        <f t="shared" si="5"/>
        <v>6.25E-2</v>
      </c>
      <c r="CI9" s="3">
        <f t="shared" si="5"/>
        <v>6.25E-2</v>
      </c>
      <c r="CJ9" s="3">
        <f t="shared" si="5"/>
        <v>3.125E-2</v>
      </c>
      <c r="CK9" s="3">
        <f t="shared" si="5"/>
        <v>9.375E-2</v>
      </c>
      <c r="CL9" s="3">
        <f t="shared" si="5"/>
        <v>3.125E-2</v>
      </c>
      <c r="CM9" s="3">
        <f t="shared" si="5"/>
        <v>6.25E-2</v>
      </c>
      <c r="CN9" s="3">
        <f t="shared" si="5"/>
        <v>6.25E-2</v>
      </c>
      <c r="CO9" s="3">
        <f t="shared" si="5"/>
        <v>3.125E-2</v>
      </c>
      <c r="CP9" s="3">
        <f t="shared" si="5"/>
        <v>6.25E-2</v>
      </c>
      <c r="CQ9" s="3">
        <f t="shared" si="5"/>
        <v>6.25E-2</v>
      </c>
      <c r="CR9" s="3">
        <f t="shared" si="5"/>
        <v>3.125E-2</v>
      </c>
      <c r="CS9" s="3">
        <f t="shared" si="5"/>
        <v>9.375E-2</v>
      </c>
      <c r="CT9" s="3">
        <f t="shared" si="5"/>
        <v>6.25E-2</v>
      </c>
      <c r="CU9" s="3">
        <f t="shared" si="5"/>
        <v>3.125E-2</v>
      </c>
      <c r="CV9" s="3">
        <f t="shared" si="5"/>
        <v>6.25E-2</v>
      </c>
      <c r="CW9" s="3">
        <f t="shared" si="5"/>
        <v>3.125E-2</v>
      </c>
      <c r="CX9" s="3">
        <f t="shared" si="5"/>
        <v>3.125E-2</v>
      </c>
      <c r="CY9" s="3">
        <f t="shared" si="5"/>
        <v>6.25E-2</v>
      </c>
      <c r="CZ9" s="3">
        <f t="shared" si="5"/>
        <v>3.125E-2</v>
      </c>
      <c r="DA9" s="3">
        <f t="shared" si="5"/>
        <v>3.125E-2</v>
      </c>
      <c r="DB9" s="3">
        <f t="shared" si="5"/>
        <v>9.375E-2</v>
      </c>
      <c r="DC9" s="3">
        <f t="shared" si="5"/>
        <v>3.125E-2</v>
      </c>
      <c r="DD9" s="3">
        <f t="shared" si="5"/>
        <v>9.375E-2</v>
      </c>
      <c r="DE9" s="3">
        <f t="shared" si="5"/>
        <v>6.25E-2</v>
      </c>
      <c r="DF9" s="3">
        <f t="shared" si="5"/>
        <v>3.125E-2</v>
      </c>
      <c r="DG9" s="3">
        <f t="shared" si="5"/>
        <v>3.125E-2</v>
      </c>
      <c r="DH9" s="3">
        <f t="shared" si="5"/>
        <v>9.375E-2</v>
      </c>
      <c r="DI9" s="3">
        <f t="shared" si="5"/>
        <v>6.25E-2</v>
      </c>
      <c r="DJ9" s="3">
        <f t="shared" si="5"/>
        <v>3.125E-2</v>
      </c>
      <c r="DK9" s="3">
        <f t="shared" si="5"/>
        <v>3.125E-2</v>
      </c>
      <c r="DL9" s="3">
        <f t="shared" si="5"/>
        <v>3.125E-2</v>
      </c>
      <c r="DM9" s="3">
        <f t="shared" si="5"/>
        <v>6.25E-2</v>
      </c>
      <c r="DN9" s="3">
        <f t="shared" si="5"/>
        <v>3.125E-2</v>
      </c>
      <c r="DO9" s="3">
        <f t="shared" si="5"/>
        <v>3.125E-2</v>
      </c>
      <c r="DP9" s="3">
        <f t="shared" si="5"/>
        <v>3.125E-2</v>
      </c>
      <c r="DQ9" s="3">
        <f t="shared" si="5"/>
        <v>3.125E-2</v>
      </c>
      <c r="DR9" s="3">
        <f t="shared" si="5"/>
        <v>3.125E-2</v>
      </c>
      <c r="DS9" s="2">
        <v>2</v>
      </c>
      <c r="DU9" t="s">
        <v>28</v>
      </c>
    </row>
    <row r="10" spans="1:125" x14ac:dyDescent="0.3">
      <c r="A10" s="2">
        <v>34</v>
      </c>
      <c r="B10" s="4">
        <v>10</v>
      </c>
      <c r="C10" s="6">
        <v>68</v>
      </c>
      <c r="D10" s="21"/>
      <c r="E10" s="2">
        <v>34</v>
      </c>
      <c r="F10" s="2">
        <f t="shared" si="6"/>
        <v>0</v>
      </c>
      <c r="G10" s="2">
        <f t="shared" si="0"/>
        <v>0</v>
      </c>
      <c r="H10" s="2">
        <f t="shared" si="0"/>
        <v>0</v>
      </c>
      <c r="I10" s="2">
        <f t="shared" si="0"/>
        <v>0</v>
      </c>
      <c r="J10" s="2">
        <f t="shared" si="0"/>
        <v>0</v>
      </c>
      <c r="K10" s="2">
        <f t="shared" si="0"/>
        <v>0</v>
      </c>
      <c r="L10" s="2">
        <f t="shared" si="0"/>
        <v>0</v>
      </c>
      <c r="M10" s="2">
        <f t="shared" si="0"/>
        <v>0</v>
      </c>
      <c r="N10" s="2">
        <f t="shared" si="0"/>
        <v>0</v>
      </c>
      <c r="O10" s="2">
        <f t="shared" si="0"/>
        <v>1</v>
      </c>
      <c r="P10" s="2">
        <f t="shared" si="1"/>
        <v>1</v>
      </c>
      <c r="R10" s="21"/>
      <c r="S10" s="2">
        <v>79</v>
      </c>
      <c r="T10" s="2">
        <f t="shared" si="7"/>
        <v>0.34399999999999997</v>
      </c>
      <c r="U10" s="2">
        <f t="shared" si="3"/>
        <v>0.188</v>
      </c>
      <c r="V10" s="2">
        <f t="shared" si="3"/>
        <v>0.156</v>
      </c>
      <c r="W10" s="2">
        <f t="shared" si="3"/>
        <v>0.25</v>
      </c>
      <c r="X10" s="2">
        <f t="shared" si="3"/>
        <v>0.156</v>
      </c>
      <c r="Y10" s="2">
        <f t="shared" si="3"/>
        <v>0.156</v>
      </c>
      <c r="Z10" s="2">
        <f t="shared" si="3"/>
        <v>0.125</v>
      </c>
      <c r="AA10" s="2">
        <f t="shared" si="3"/>
        <v>0.156</v>
      </c>
      <c r="AB10" s="2">
        <f t="shared" si="3"/>
        <v>0.219</v>
      </c>
      <c r="AC10" s="2">
        <f t="shared" si="3"/>
        <v>0.25</v>
      </c>
      <c r="AD10" s="2">
        <v>2</v>
      </c>
      <c r="AH10" s="21"/>
      <c r="AI10" s="2">
        <v>79</v>
      </c>
      <c r="AJ10" s="2">
        <f t="shared" si="8"/>
        <v>0</v>
      </c>
      <c r="AK10" s="2">
        <f t="shared" si="4"/>
        <v>0</v>
      </c>
      <c r="AL10" s="2">
        <f t="shared" si="4"/>
        <v>0</v>
      </c>
      <c r="AM10" s="2">
        <f t="shared" si="4"/>
        <v>0</v>
      </c>
      <c r="AN10" s="2">
        <f t="shared" si="4"/>
        <v>0</v>
      </c>
      <c r="AO10" s="2">
        <f t="shared" si="4"/>
        <v>0</v>
      </c>
      <c r="AP10" s="2">
        <f t="shared" si="4"/>
        <v>0</v>
      </c>
      <c r="AQ10" s="2">
        <f t="shared" si="4"/>
        <v>0</v>
      </c>
      <c r="AR10" s="2">
        <f t="shared" si="4"/>
        <v>0</v>
      </c>
      <c r="AS10" s="2">
        <f t="shared" si="4"/>
        <v>0</v>
      </c>
      <c r="AT10" s="2">
        <f t="shared" si="4"/>
        <v>0</v>
      </c>
      <c r="AU10" s="2">
        <f t="shared" si="4"/>
        <v>0</v>
      </c>
      <c r="AV10" s="2">
        <f t="shared" si="4"/>
        <v>0</v>
      </c>
      <c r="AW10" s="2">
        <f t="shared" si="4"/>
        <v>0</v>
      </c>
      <c r="AX10" s="2">
        <f t="shared" si="4"/>
        <v>0</v>
      </c>
      <c r="AY10" s="2">
        <f t="shared" si="4"/>
        <v>0</v>
      </c>
      <c r="AZ10" s="2">
        <f t="shared" si="4"/>
        <v>0</v>
      </c>
      <c r="BA10" s="2">
        <f t="shared" ref="BA10:BP27" si="11">COUNTIFS($A$2:$A$65,$AI10,$C$2:$C$65,BA$3)</f>
        <v>0</v>
      </c>
      <c r="BB10" s="2">
        <f t="shared" si="11"/>
        <v>0</v>
      </c>
      <c r="BC10" s="2">
        <f t="shared" si="11"/>
        <v>0</v>
      </c>
      <c r="BD10" s="2">
        <f t="shared" si="11"/>
        <v>0</v>
      </c>
      <c r="BE10" s="2">
        <f t="shared" si="11"/>
        <v>0</v>
      </c>
      <c r="BF10" s="2">
        <f t="shared" si="11"/>
        <v>0</v>
      </c>
      <c r="BG10" s="2">
        <f t="shared" si="11"/>
        <v>0</v>
      </c>
      <c r="BH10" s="2">
        <f t="shared" si="11"/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2">
        <f t="shared" si="11"/>
        <v>0</v>
      </c>
      <c r="BM10" s="2">
        <f t="shared" si="11"/>
        <v>0</v>
      </c>
      <c r="BN10" s="2">
        <f t="shared" si="11"/>
        <v>0</v>
      </c>
      <c r="BO10" s="2">
        <f t="shared" si="11"/>
        <v>0</v>
      </c>
      <c r="BP10" s="2">
        <f t="shared" si="11"/>
        <v>0</v>
      </c>
      <c r="BQ10" s="2">
        <f t="shared" ref="BQ10:BX45" si="12">COUNTIFS($A$2:$A$65,$AI10,$C$2:$C$65,BQ$3)</f>
        <v>0</v>
      </c>
      <c r="BR10" s="2">
        <f t="shared" si="12"/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2">
        <f t="shared" si="12"/>
        <v>0</v>
      </c>
      <c r="BW10" s="2">
        <f t="shared" si="12"/>
        <v>0</v>
      </c>
      <c r="BX10" s="2">
        <f t="shared" si="12"/>
        <v>0</v>
      </c>
      <c r="BY10" s="2">
        <f t="shared" si="9"/>
        <v>0</v>
      </c>
      <c r="CB10" s="21"/>
      <c r="CC10" s="2">
        <v>79</v>
      </c>
      <c r="CD10" s="3">
        <f t="shared" si="10"/>
        <v>3.125E-2</v>
      </c>
      <c r="CE10" s="3">
        <f t="shared" si="5"/>
        <v>3.125E-2</v>
      </c>
      <c r="CF10" s="3">
        <f t="shared" si="5"/>
        <v>3.125E-2</v>
      </c>
      <c r="CG10" s="3">
        <f t="shared" si="5"/>
        <v>6.25E-2</v>
      </c>
      <c r="CH10" s="3">
        <f t="shared" si="5"/>
        <v>6.25E-2</v>
      </c>
      <c r="CI10" s="3">
        <f t="shared" si="5"/>
        <v>6.25E-2</v>
      </c>
      <c r="CJ10" s="3">
        <f t="shared" si="5"/>
        <v>3.125E-2</v>
      </c>
      <c r="CK10" s="3">
        <f t="shared" si="5"/>
        <v>9.375E-2</v>
      </c>
      <c r="CL10" s="3">
        <f t="shared" si="5"/>
        <v>3.125E-2</v>
      </c>
      <c r="CM10" s="3">
        <f t="shared" si="5"/>
        <v>6.25E-2</v>
      </c>
      <c r="CN10" s="3">
        <f t="shared" si="5"/>
        <v>6.25E-2</v>
      </c>
      <c r="CO10" s="3">
        <f t="shared" si="5"/>
        <v>3.125E-2</v>
      </c>
      <c r="CP10" s="3">
        <f t="shared" si="5"/>
        <v>6.25E-2</v>
      </c>
      <c r="CQ10" s="3">
        <f t="shared" si="5"/>
        <v>6.25E-2</v>
      </c>
      <c r="CR10" s="3">
        <f t="shared" si="5"/>
        <v>3.125E-2</v>
      </c>
      <c r="CS10" s="3">
        <f t="shared" si="5"/>
        <v>9.375E-2</v>
      </c>
      <c r="CT10" s="3">
        <f t="shared" ref="CT10:DI25" si="13">$DS10*CT$47/$DS$47</f>
        <v>6.25E-2</v>
      </c>
      <c r="CU10" s="3">
        <f t="shared" si="13"/>
        <v>3.125E-2</v>
      </c>
      <c r="CV10" s="3">
        <f t="shared" si="13"/>
        <v>6.25E-2</v>
      </c>
      <c r="CW10" s="3">
        <f t="shared" si="13"/>
        <v>3.125E-2</v>
      </c>
      <c r="CX10" s="3">
        <f t="shared" si="13"/>
        <v>3.125E-2</v>
      </c>
      <c r="CY10" s="3">
        <f t="shared" si="13"/>
        <v>6.25E-2</v>
      </c>
      <c r="CZ10" s="3">
        <f t="shared" si="13"/>
        <v>3.125E-2</v>
      </c>
      <c r="DA10" s="3">
        <f t="shared" si="13"/>
        <v>3.125E-2</v>
      </c>
      <c r="DB10" s="3">
        <f t="shared" si="13"/>
        <v>9.375E-2</v>
      </c>
      <c r="DC10" s="3">
        <f t="shared" si="13"/>
        <v>3.125E-2</v>
      </c>
      <c r="DD10" s="3">
        <f t="shared" si="13"/>
        <v>9.375E-2</v>
      </c>
      <c r="DE10" s="3">
        <f t="shared" si="13"/>
        <v>6.25E-2</v>
      </c>
      <c r="DF10" s="3">
        <f t="shared" si="13"/>
        <v>3.125E-2</v>
      </c>
      <c r="DG10" s="3">
        <f t="shared" si="13"/>
        <v>3.125E-2</v>
      </c>
      <c r="DH10" s="3">
        <f t="shared" si="13"/>
        <v>9.375E-2</v>
      </c>
      <c r="DI10" s="3">
        <f t="shared" si="13"/>
        <v>6.25E-2</v>
      </c>
      <c r="DJ10" s="3">
        <f t="shared" ref="DJ10:DR24" si="14">$DS10*DJ$47/$DS$47</f>
        <v>3.125E-2</v>
      </c>
      <c r="DK10" s="3">
        <f t="shared" si="14"/>
        <v>3.125E-2</v>
      </c>
      <c r="DL10" s="3">
        <f t="shared" si="14"/>
        <v>3.125E-2</v>
      </c>
      <c r="DM10" s="3">
        <f t="shared" si="14"/>
        <v>6.25E-2</v>
      </c>
      <c r="DN10" s="3">
        <f t="shared" si="14"/>
        <v>3.125E-2</v>
      </c>
      <c r="DO10" s="3">
        <f t="shared" si="14"/>
        <v>3.125E-2</v>
      </c>
      <c r="DP10" s="3">
        <f t="shared" si="14"/>
        <v>3.125E-2</v>
      </c>
      <c r="DQ10" s="3">
        <f t="shared" si="14"/>
        <v>3.125E-2</v>
      </c>
      <c r="DR10" s="3">
        <f t="shared" si="14"/>
        <v>3.125E-2</v>
      </c>
      <c r="DS10" s="2">
        <v>2</v>
      </c>
    </row>
    <row r="11" spans="1:125" x14ac:dyDescent="0.3">
      <c r="A11" s="2">
        <v>42</v>
      </c>
      <c r="B11" s="4">
        <v>8</v>
      </c>
      <c r="C11" s="6">
        <v>77</v>
      </c>
      <c r="D11" s="21"/>
      <c r="E11" s="2">
        <v>42</v>
      </c>
      <c r="F11" s="2">
        <f t="shared" si="6"/>
        <v>0</v>
      </c>
      <c r="G11" s="2">
        <f t="shared" si="0"/>
        <v>1</v>
      </c>
      <c r="H11" s="2">
        <f t="shared" si="0"/>
        <v>0</v>
      </c>
      <c r="I11" s="2">
        <f t="shared" si="0"/>
        <v>0</v>
      </c>
      <c r="J11" s="2">
        <f t="shared" si="0"/>
        <v>0</v>
      </c>
      <c r="K11" s="2">
        <f t="shared" si="0"/>
        <v>0</v>
      </c>
      <c r="L11" s="2">
        <f t="shared" si="0"/>
        <v>0</v>
      </c>
      <c r="M11" s="2">
        <f t="shared" si="0"/>
        <v>1</v>
      </c>
      <c r="N11" s="2">
        <f t="shared" si="0"/>
        <v>0</v>
      </c>
      <c r="O11" s="2">
        <f t="shared" si="0"/>
        <v>0</v>
      </c>
      <c r="P11" s="2">
        <f t="shared" si="1"/>
        <v>2</v>
      </c>
      <c r="R11" s="21"/>
      <c r="S11" s="2">
        <v>59</v>
      </c>
      <c r="T11" s="2">
        <f t="shared" si="7"/>
        <v>0.34399999999999997</v>
      </c>
      <c r="U11" s="2">
        <f t="shared" si="3"/>
        <v>0.188</v>
      </c>
      <c r="V11" s="2">
        <f t="shared" si="3"/>
        <v>0.156</v>
      </c>
      <c r="W11" s="2">
        <f t="shared" si="3"/>
        <v>0.25</v>
      </c>
      <c r="X11" s="2">
        <f t="shared" si="3"/>
        <v>0.156</v>
      </c>
      <c r="Y11" s="2">
        <f t="shared" si="3"/>
        <v>0.156</v>
      </c>
      <c r="Z11" s="2">
        <f t="shared" si="3"/>
        <v>0.125</v>
      </c>
      <c r="AA11" s="2">
        <f t="shared" si="3"/>
        <v>0.156</v>
      </c>
      <c r="AB11" s="2">
        <f t="shared" si="3"/>
        <v>0.219</v>
      </c>
      <c r="AC11" s="2">
        <f t="shared" si="3"/>
        <v>0.25</v>
      </c>
      <c r="AD11" s="2">
        <v>2</v>
      </c>
      <c r="AH11" s="21"/>
      <c r="AI11" s="2">
        <v>59</v>
      </c>
      <c r="AJ11" s="2">
        <f t="shared" si="8"/>
        <v>0</v>
      </c>
      <c r="AK11" s="2">
        <f t="shared" si="8"/>
        <v>0</v>
      </c>
      <c r="AL11" s="2">
        <f t="shared" si="8"/>
        <v>0</v>
      </c>
      <c r="AM11" s="2">
        <f t="shared" si="8"/>
        <v>0</v>
      </c>
      <c r="AN11" s="2">
        <f t="shared" si="8"/>
        <v>0</v>
      </c>
      <c r="AO11" s="2">
        <f t="shared" si="8"/>
        <v>0</v>
      </c>
      <c r="AP11" s="2">
        <f t="shared" si="8"/>
        <v>0</v>
      </c>
      <c r="AQ11" s="2">
        <f t="shared" si="8"/>
        <v>0</v>
      </c>
      <c r="AR11" s="2">
        <f t="shared" si="8"/>
        <v>0</v>
      </c>
      <c r="AS11" s="2">
        <f t="shared" si="8"/>
        <v>0</v>
      </c>
      <c r="AT11" s="2">
        <f t="shared" si="8"/>
        <v>0</v>
      </c>
      <c r="AU11" s="2">
        <f t="shared" si="8"/>
        <v>0</v>
      </c>
      <c r="AV11" s="2">
        <f t="shared" si="8"/>
        <v>0</v>
      </c>
      <c r="AW11" s="2">
        <f t="shared" si="8"/>
        <v>0</v>
      </c>
      <c r="AX11" s="2">
        <f t="shared" si="8"/>
        <v>0</v>
      </c>
      <c r="AY11" s="2">
        <f t="shared" si="8"/>
        <v>0</v>
      </c>
      <c r="AZ11" s="2">
        <f t="shared" ref="AZ11:BO28" si="15">COUNTIFS($A$2:$A$65,$AI11,$C$2:$C$65,AZ$3)</f>
        <v>0</v>
      </c>
      <c r="BA11" s="2">
        <f t="shared" si="15"/>
        <v>0</v>
      </c>
      <c r="BB11" s="2">
        <f t="shared" si="15"/>
        <v>0</v>
      </c>
      <c r="BC11" s="2">
        <f t="shared" si="15"/>
        <v>0</v>
      </c>
      <c r="BD11" s="2">
        <f t="shared" si="15"/>
        <v>0</v>
      </c>
      <c r="BE11" s="2">
        <f t="shared" si="15"/>
        <v>1</v>
      </c>
      <c r="BF11" s="2">
        <f t="shared" si="15"/>
        <v>0</v>
      </c>
      <c r="BG11" s="2">
        <f t="shared" si="15"/>
        <v>0</v>
      </c>
      <c r="BH11" s="2">
        <f t="shared" si="15"/>
        <v>0</v>
      </c>
      <c r="BI11" s="2">
        <f t="shared" si="15"/>
        <v>0</v>
      </c>
      <c r="BJ11" s="2">
        <f t="shared" si="15"/>
        <v>0</v>
      </c>
      <c r="BK11" s="2">
        <f t="shared" si="15"/>
        <v>0</v>
      </c>
      <c r="BL11" s="2">
        <f t="shared" si="15"/>
        <v>0</v>
      </c>
      <c r="BM11" s="2">
        <f t="shared" si="15"/>
        <v>0</v>
      </c>
      <c r="BN11" s="2">
        <f t="shared" si="15"/>
        <v>1</v>
      </c>
      <c r="BO11" s="2">
        <f t="shared" si="15"/>
        <v>0</v>
      </c>
      <c r="BP11" s="2">
        <f t="shared" si="11"/>
        <v>0</v>
      </c>
      <c r="BQ11" s="2">
        <f t="shared" si="12"/>
        <v>0</v>
      </c>
      <c r="BR11" s="2">
        <f t="shared" si="12"/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2">
        <f t="shared" si="12"/>
        <v>1</v>
      </c>
      <c r="BW11" s="2">
        <f t="shared" si="12"/>
        <v>0</v>
      </c>
      <c r="BX11" s="2">
        <f t="shared" si="12"/>
        <v>0</v>
      </c>
      <c r="BY11" s="2">
        <f t="shared" si="9"/>
        <v>3</v>
      </c>
      <c r="CB11" s="21"/>
      <c r="CC11" s="2">
        <v>59</v>
      </c>
      <c r="CD11" s="3">
        <f t="shared" si="10"/>
        <v>3.125E-2</v>
      </c>
      <c r="CE11" s="3">
        <f t="shared" si="10"/>
        <v>3.125E-2</v>
      </c>
      <c r="CF11" s="3">
        <f t="shared" si="10"/>
        <v>3.125E-2</v>
      </c>
      <c r="CG11" s="3">
        <f t="shared" si="10"/>
        <v>6.25E-2</v>
      </c>
      <c r="CH11" s="3">
        <f t="shared" si="10"/>
        <v>6.25E-2</v>
      </c>
      <c r="CI11" s="3">
        <f t="shared" si="10"/>
        <v>6.25E-2</v>
      </c>
      <c r="CJ11" s="3">
        <f t="shared" si="10"/>
        <v>3.125E-2</v>
      </c>
      <c r="CK11" s="3">
        <f t="shared" si="10"/>
        <v>9.375E-2</v>
      </c>
      <c r="CL11" s="3">
        <f t="shared" si="10"/>
        <v>3.125E-2</v>
      </c>
      <c r="CM11" s="3">
        <f t="shared" si="10"/>
        <v>6.25E-2</v>
      </c>
      <c r="CN11" s="3">
        <f t="shared" si="10"/>
        <v>6.25E-2</v>
      </c>
      <c r="CO11" s="3">
        <f t="shared" si="10"/>
        <v>3.125E-2</v>
      </c>
      <c r="CP11" s="3">
        <f t="shared" si="10"/>
        <v>6.25E-2</v>
      </c>
      <c r="CQ11" s="3">
        <f t="shared" si="10"/>
        <v>6.25E-2</v>
      </c>
      <c r="CR11" s="3">
        <f t="shared" si="10"/>
        <v>3.125E-2</v>
      </c>
      <c r="CS11" s="3">
        <f t="shared" si="10"/>
        <v>9.375E-2</v>
      </c>
      <c r="CT11" s="3">
        <f t="shared" si="13"/>
        <v>6.25E-2</v>
      </c>
      <c r="CU11" s="3">
        <f t="shared" si="13"/>
        <v>3.125E-2</v>
      </c>
      <c r="CV11" s="3">
        <f t="shared" si="13"/>
        <v>6.25E-2</v>
      </c>
      <c r="CW11" s="3">
        <f t="shared" si="13"/>
        <v>3.125E-2</v>
      </c>
      <c r="CX11" s="3">
        <f t="shared" si="13"/>
        <v>3.125E-2</v>
      </c>
      <c r="CY11" s="3">
        <f t="shared" si="13"/>
        <v>6.25E-2</v>
      </c>
      <c r="CZ11" s="3">
        <f t="shared" si="13"/>
        <v>3.125E-2</v>
      </c>
      <c r="DA11" s="3">
        <f t="shared" si="13"/>
        <v>3.125E-2</v>
      </c>
      <c r="DB11" s="3">
        <f t="shared" si="13"/>
        <v>9.375E-2</v>
      </c>
      <c r="DC11" s="3">
        <f t="shared" si="13"/>
        <v>3.125E-2</v>
      </c>
      <c r="DD11" s="3">
        <f t="shared" si="13"/>
        <v>9.375E-2</v>
      </c>
      <c r="DE11" s="3">
        <f t="shared" si="13"/>
        <v>6.25E-2</v>
      </c>
      <c r="DF11" s="3">
        <f t="shared" si="13"/>
        <v>3.125E-2</v>
      </c>
      <c r="DG11" s="3">
        <f t="shared" si="13"/>
        <v>3.125E-2</v>
      </c>
      <c r="DH11" s="3">
        <f t="shared" si="13"/>
        <v>9.375E-2</v>
      </c>
      <c r="DI11" s="3">
        <f t="shared" si="13"/>
        <v>6.25E-2</v>
      </c>
      <c r="DJ11" s="3">
        <f t="shared" si="14"/>
        <v>3.125E-2</v>
      </c>
      <c r="DK11" s="3">
        <f t="shared" si="14"/>
        <v>3.125E-2</v>
      </c>
      <c r="DL11" s="3">
        <f t="shared" si="14"/>
        <v>3.125E-2</v>
      </c>
      <c r="DM11" s="3">
        <f t="shared" si="14"/>
        <v>6.25E-2</v>
      </c>
      <c r="DN11" s="3">
        <f t="shared" si="14"/>
        <v>3.125E-2</v>
      </c>
      <c r="DO11" s="3">
        <f t="shared" si="14"/>
        <v>3.125E-2</v>
      </c>
      <c r="DP11" s="3">
        <f t="shared" si="14"/>
        <v>3.125E-2</v>
      </c>
      <c r="DQ11" s="3">
        <f t="shared" si="14"/>
        <v>3.125E-2</v>
      </c>
      <c r="DR11" s="3">
        <f t="shared" si="14"/>
        <v>3.125E-2</v>
      </c>
      <c r="DS11" s="2">
        <v>2</v>
      </c>
    </row>
    <row r="12" spans="1:125" x14ac:dyDescent="0.3">
      <c r="A12" s="2">
        <v>43</v>
      </c>
      <c r="B12" s="4">
        <v>15</v>
      </c>
      <c r="C12" s="6">
        <v>63</v>
      </c>
      <c r="D12" s="21"/>
      <c r="E12" s="2">
        <v>43</v>
      </c>
      <c r="F12" s="2">
        <f t="shared" si="6"/>
        <v>0</v>
      </c>
      <c r="G12" s="2">
        <f t="shared" si="0"/>
        <v>0</v>
      </c>
      <c r="H12" s="2">
        <f t="shared" si="0"/>
        <v>0</v>
      </c>
      <c r="I12" s="2">
        <f t="shared" si="0"/>
        <v>0</v>
      </c>
      <c r="J12" s="2">
        <f t="shared" si="0"/>
        <v>0</v>
      </c>
      <c r="K12" s="2">
        <f t="shared" si="0"/>
        <v>0</v>
      </c>
      <c r="L12" s="2">
        <f t="shared" si="0"/>
        <v>0</v>
      </c>
      <c r="M12" s="2">
        <f t="shared" si="0"/>
        <v>0</v>
      </c>
      <c r="N12" s="2">
        <f t="shared" si="0"/>
        <v>0</v>
      </c>
      <c r="O12" s="2">
        <f t="shared" si="0"/>
        <v>0</v>
      </c>
      <c r="P12" s="2">
        <f t="shared" si="1"/>
        <v>0</v>
      </c>
      <c r="R12" s="21"/>
      <c r="S12" s="2">
        <v>49</v>
      </c>
      <c r="T12" s="2">
        <f t="shared" si="7"/>
        <v>0.85899999999999999</v>
      </c>
      <c r="U12" s="2">
        <f t="shared" si="3"/>
        <v>0.46899999999999997</v>
      </c>
      <c r="V12" s="2">
        <f t="shared" si="3"/>
        <v>0.39100000000000001</v>
      </c>
      <c r="W12" s="2">
        <f t="shared" si="3"/>
        <v>0.625</v>
      </c>
      <c r="X12" s="2">
        <f t="shared" si="3"/>
        <v>0.39100000000000001</v>
      </c>
      <c r="Y12" s="2">
        <f t="shared" si="3"/>
        <v>0.39100000000000001</v>
      </c>
      <c r="Z12" s="2">
        <f t="shared" si="3"/>
        <v>0.313</v>
      </c>
      <c r="AA12" s="2">
        <f t="shared" si="3"/>
        <v>0.39100000000000001</v>
      </c>
      <c r="AB12" s="2">
        <f t="shared" si="3"/>
        <v>0.54700000000000004</v>
      </c>
      <c r="AC12" s="2">
        <f t="shared" si="3"/>
        <v>0.625</v>
      </c>
      <c r="AD12" s="2">
        <v>5</v>
      </c>
      <c r="AH12" s="21"/>
      <c r="AI12" s="2">
        <v>49</v>
      </c>
      <c r="AJ12" s="2">
        <f t="shared" si="8"/>
        <v>0</v>
      </c>
      <c r="AK12" s="2">
        <f t="shared" si="8"/>
        <v>0</v>
      </c>
      <c r="AL12" s="2">
        <f t="shared" si="8"/>
        <v>0</v>
      </c>
      <c r="AM12" s="2">
        <f t="shared" si="8"/>
        <v>0</v>
      </c>
      <c r="AN12" s="2">
        <f t="shared" si="8"/>
        <v>0</v>
      </c>
      <c r="AO12" s="2">
        <f t="shared" si="8"/>
        <v>0</v>
      </c>
      <c r="AP12" s="2">
        <f t="shared" si="8"/>
        <v>0</v>
      </c>
      <c r="AQ12" s="2">
        <f t="shared" si="8"/>
        <v>0</v>
      </c>
      <c r="AR12" s="2">
        <f t="shared" si="8"/>
        <v>0</v>
      </c>
      <c r="AS12" s="2">
        <f t="shared" si="8"/>
        <v>0</v>
      </c>
      <c r="AT12" s="2">
        <f t="shared" si="8"/>
        <v>0</v>
      </c>
      <c r="AU12" s="2">
        <f t="shared" si="8"/>
        <v>0</v>
      </c>
      <c r="AV12" s="2">
        <f t="shared" si="8"/>
        <v>1</v>
      </c>
      <c r="AW12" s="2">
        <f t="shared" si="8"/>
        <v>0</v>
      </c>
      <c r="AX12" s="2">
        <f t="shared" si="8"/>
        <v>0</v>
      </c>
      <c r="AY12" s="2">
        <f t="shared" si="8"/>
        <v>0</v>
      </c>
      <c r="AZ12" s="2">
        <f t="shared" si="15"/>
        <v>0</v>
      </c>
      <c r="BA12" s="2">
        <f t="shared" si="15"/>
        <v>0</v>
      </c>
      <c r="BB12" s="2">
        <f t="shared" si="15"/>
        <v>0</v>
      </c>
      <c r="BC12" s="2">
        <f t="shared" si="15"/>
        <v>0</v>
      </c>
      <c r="BD12" s="2">
        <f t="shared" si="15"/>
        <v>0</v>
      </c>
      <c r="BE12" s="2">
        <f t="shared" si="15"/>
        <v>0</v>
      </c>
      <c r="BF12" s="2">
        <f t="shared" si="15"/>
        <v>0</v>
      </c>
      <c r="BG12" s="2">
        <f t="shared" si="15"/>
        <v>0</v>
      </c>
      <c r="BH12" s="2">
        <f t="shared" si="15"/>
        <v>0</v>
      </c>
      <c r="BI12" s="2">
        <f t="shared" si="15"/>
        <v>0</v>
      </c>
      <c r="BJ12" s="2">
        <f t="shared" si="15"/>
        <v>0</v>
      </c>
      <c r="BK12" s="2">
        <f t="shared" si="15"/>
        <v>0</v>
      </c>
      <c r="BL12" s="2">
        <f t="shared" si="15"/>
        <v>0</v>
      </c>
      <c r="BM12" s="2">
        <f t="shared" si="15"/>
        <v>0</v>
      </c>
      <c r="BN12" s="2">
        <f t="shared" si="15"/>
        <v>0</v>
      </c>
      <c r="BO12" s="2">
        <f t="shared" si="15"/>
        <v>0</v>
      </c>
      <c r="BP12" s="2">
        <f t="shared" si="11"/>
        <v>0</v>
      </c>
      <c r="BQ12" s="2">
        <f t="shared" si="12"/>
        <v>0</v>
      </c>
      <c r="BR12" s="2">
        <f t="shared" si="12"/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2">
        <f t="shared" si="12"/>
        <v>0</v>
      </c>
      <c r="BW12" s="2">
        <f t="shared" si="12"/>
        <v>0</v>
      </c>
      <c r="BX12" s="2">
        <f t="shared" si="12"/>
        <v>0</v>
      </c>
      <c r="BY12" s="2">
        <f t="shared" si="9"/>
        <v>1</v>
      </c>
      <c r="CB12" s="21"/>
      <c r="CC12" s="2">
        <v>49</v>
      </c>
      <c r="CD12" s="3">
        <f t="shared" si="10"/>
        <v>7.8125E-2</v>
      </c>
      <c r="CE12" s="3">
        <f t="shared" si="10"/>
        <v>7.8125E-2</v>
      </c>
      <c r="CF12" s="3">
        <f t="shared" si="10"/>
        <v>7.8125E-2</v>
      </c>
      <c r="CG12" s="3">
        <f t="shared" si="10"/>
        <v>0.15625</v>
      </c>
      <c r="CH12" s="3">
        <f t="shared" si="10"/>
        <v>0.15625</v>
      </c>
      <c r="CI12" s="3">
        <f t="shared" si="10"/>
        <v>0.15625</v>
      </c>
      <c r="CJ12" s="3">
        <f t="shared" si="10"/>
        <v>7.8125E-2</v>
      </c>
      <c r="CK12" s="3">
        <f t="shared" si="10"/>
        <v>0.234375</v>
      </c>
      <c r="CL12" s="3">
        <f t="shared" si="10"/>
        <v>7.8125E-2</v>
      </c>
      <c r="CM12" s="3">
        <f t="shared" si="10"/>
        <v>0.15625</v>
      </c>
      <c r="CN12" s="3">
        <f t="shared" si="10"/>
        <v>0.15625</v>
      </c>
      <c r="CO12" s="3">
        <f t="shared" si="10"/>
        <v>7.8125E-2</v>
      </c>
      <c r="CP12" s="3">
        <f t="shared" si="10"/>
        <v>0.15625</v>
      </c>
      <c r="CQ12" s="3">
        <f t="shared" si="10"/>
        <v>0.15625</v>
      </c>
      <c r="CR12" s="3">
        <f t="shared" si="10"/>
        <v>7.8125E-2</v>
      </c>
      <c r="CS12" s="3">
        <f t="shared" si="10"/>
        <v>0.234375</v>
      </c>
      <c r="CT12" s="3">
        <f t="shared" si="13"/>
        <v>0.15625</v>
      </c>
      <c r="CU12" s="3">
        <f t="shared" si="13"/>
        <v>7.8125E-2</v>
      </c>
      <c r="CV12" s="3">
        <f t="shared" si="13"/>
        <v>0.15625</v>
      </c>
      <c r="CW12" s="3">
        <f t="shared" si="13"/>
        <v>7.8125E-2</v>
      </c>
      <c r="CX12" s="3">
        <f t="shared" si="13"/>
        <v>7.8125E-2</v>
      </c>
      <c r="CY12" s="3">
        <f t="shared" si="13"/>
        <v>0.15625</v>
      </c>
      <c r="CZ12" s="3">
        <f t="shared" si="13"/>
        <v>7.8125E-2</v>
      </c>
      <c r="DA12" s="3">
        <f t="shared" si="13"/>
        <v>7.8125E-2</v>
      </c>
      <c r="DB12" s="3">
        <f t="shared" si="13"/>
        <v>0.234375</v>
      </c>
      <c r="DC12" s="3">
        <f t="shared" si="13"/>
        <v>7.8125E-2</v>
      </c>
      <c r="DD12" s="3">
        <f t="shared" si="13"/>
        <v>0.234375</v>
      </c>
      <c r="DE12" s="3">
        <f t="shared" si="13"/>
        <v>0.15625</v>
      </c>
      <c r="DF12" s="3">
        <f t="shared" si="13"/>
        <v>7.8125E-2</v>
      </c>
      <c r="DG12" s="3">
        <f t="shared" si="13"/>
        <v>7.8125E-2</v>
      </c>
      <c r="DH12" s="3">
        <f t="shared" si="13"/>
        <v>0.234375</v>
      </c>
      <c r="DI12" s="3">
        <f t="shared" si="13"/>
        <v>0.15625</v>
      </c>
      <c r="DJ12" s="3">
        <f t="shared" si="14"/>
        <v>7.8125E-2</v>
      </c>
      <c r="DK12" s="3">
        <f t="shared" si="14"/>
        <v>7.8125E-2</v>
      </c>
      <c r="DL12" s="3">
        <f t="shared" si="14"/>
        <v>7.8125E-2</v>
      </c>
      <c r="DM12" s="3">
        <f t="shared" si="14"/>
        <v>0.15625</v>
      </c>
      <c r="DN12" s="3">
        <f t="shared" si="14"/>
        <v>7.8125E-2</v>
      </c>
      <c r="DO12" s="3">
        <f t="shared" si="14"/>
        <v>7.8125E-2</v>
      </c>
      <c r="DP12" s="3">
        <f t="shared" si="14"/>
        <v>7.8125E-2</v>
      </c>
      <c r="DQ12" s="3">
        <f t="shared" si="14"/>
        <v>7.8125E-2</v>
      </c>
      <c r="DR12" s="3">
        <f t="shared" si="14"/>
        <v>7.8125E-2</v>
      </c>
      <c r="DS12" s="2">
        <v>5</v>
      </c>
    </row>
    <row r="13" spans="1:125" x14ac:dyDescent="0.3">
      <c r="A13" s="2">
        <v>19</v>
      </c>
      <c r="B13" s="4">
        <v>13</v>
      </c>
      <c r="C13" s="6">
        <v>42</v>
      </c>
      <c r="D13" s="21"/>
      <c r="E13" s="2">
        <v>19</v>
      </c>
      <c r="F13" s="2">
        <f t="shared" si="6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2">
        <f t="shared" si="0"/>
        <v>0</v>
      </c>
      <c r="L13" s="2">
        <f t="shared" si="0"/>
        <v>0</v>
      </c>
      <c r="M13" s="2">
        <f t="shared" si="0"/>
        <v>0</v>
      </c>
      <c r="N13" s="2">
        <f t="shared" si="0"/>
        <v>0</v>
      </c>
      <c r="O13" s="2">
        <f t="shared" si="0"/>
        <v>0</v>
      </c>
      <c r="P13" s="2">
        <f t="shared" si="1"/>
        <v>0</v>
      </c>
      <c r="R13" s="21"/>
      <c r="S13" s="2">
        <v>21</v>
      </c>
      <c r="T13" s="2">
        <f t="shared" si="7"/>
        <v>0.17199999999999999</v>
      </c>
      <c r="U13" s="2">
        <f t="shared" si="3"/>
        <v>9.4E-2</v>
      </c>
      <c r="V13" s="2">
        <f t="shared" si="3"/>
        <v>7.8E-2</v>
      </c>
      <c r="W13" s="2">
        <f t="shared" si="3"/>
        <v>0.125</v>
      </c>
      <c r="X13" s="2">
        <f t="shared" si="3"/>
        <v>7.8E-2</v>
      </c>
      <c r="Y13" s="2">
        <f t="shared" si="3"/>
        <v>7.8E-2</v>
      </c>
      <c r="Z13" s="2">
        <f t="shared" si="3"/>
        <v>6.3E-2</v>
      </c>
      <c r="AA13" s="2">
        <f t="shared" si="3"/>
        <v>7.8E-2</v>
      </c>
      <c r="AB13" s="2">
        <f t="shared" si="3"/>
        <v>0.109</v>
      </c>
      <c r="AC13" s="2">
        <f t="shared" si="3"/>
        <v>0.125</v>
      </c>
      <c r="AD13" s="2">
        <v>1</v>
      </c>
      <c r="AH13" s="21"/>
      <c r="AI13" s="2">
        <v>21</v>
      </c>
      <c r="AJ13" s="2">
        <f t="shared" si="8"/>
        <v>0</v>
      </c>
      <c r="AK13" s="2">
        <f t="shared" si="8"/>
        <v>0</v>
      </c>
      <c r="AL13" s="2">
        <f t="shared" si="8"/>
        <v>0</v>
      </c>
      <c r="AM13" s="2">
        <f t="shared" si="8"/>
        <v>0</v>
      </c>
      <c r="AN13" s="2">
        <f t="shared" si="8"/>
        <v>0</v>
      </c>
      <c r="AO13" s="2">
        <f t="shared" si="8"/>
        <v>0</v>
      </c>
      <c r="AP13" s="2">
        <f t="shared" si="8"/>
        <v>0</v>
      </c>
      <c r="AQ13" s="2">
        <f t="shared" si="8"/>
        <v>0</v>
      </c>
      <c r="AR13" s="2">
        <f t="shared" si="8"/>
        <v>0</v>
      </c>
      <c r="AS13" s="2">
        <f t="shared" si="8"/>
        <v>0</v>
      </c>
      <c r="AT13" s="2">
        <f t="shared" si="8"/>
        <v>0</v>
      </c>
      <c r="AU13" s="2">
        <f t="shared" si="8"/>
        <v>0</v>
      </c>
      <c r="AV13" s="2">
        <f t="shared" si="8"/>
        <v>0</v>
      </c>
      <c r="AW13" s="2">
        <f t="shared" si="8"/>
        <v>0</v>
      </c>
      <c r="AX13" s="2">
        <f t="shared" si="8"/>
        <v>0</v>
      </c>
      <c r="AY13" s="2">
        <f t="shared" si="8"/>
        <v>0</v>
      </c>
      <c r="AZ13" s="2">
        <f t="shared" si="15"/>
        <v>0</v>
      </c>
      <c r="BA13" s="2">
        <f t="shared" si="15"/>
        <v>0</v>
      </c>
      <c r="BB13" s="2">
        <f t="shared" si="15"/>
        <v>0</v>
      </c>
      <c r="BC13" s="2">
        <f t="shared" si="15"/>
        <v>0</v>
      </c>
      <c r="BD13" s="2">
        <f t="shared" si="15"/>
        <v>0</v>
      </c>
      <c r="BE13" s="2">
        <f t="shared" si="15"/>
        <v>0</v>
      </c>
      <c r="BF13" s="2">
        <f t="shared" si="15"/>
        <v>0</v>
      </c>
      <c r="BG13" s="2">
        <f t="shared" si="15"/>
        <v>0</v>
      </c>
      <c r="BH13" s="2">
        <f t="shared" si="15"/>
        <v>0</v>
      </c>
      <c r="BI13" s="2">
        <f t="shared" si="15"/>
        <v>0</v>
      </c>
      <c r="BJ13" s="2">
        <f t="shared" si="15"/>
        <v>0</v>
      </c>
      <c r="BK13" s="2">
        <f t="shared" si="15"/>
        <v>0</v>
      </c>
      <c r="BL13" s="2">
        <f t="shared" si="15"/>
        <v>0</v>
      </c>
      <c r="BM13" s="2">
        <f t="shared" si="15"/>
        <v>0</v>
      </c>
      <c r="BN13" s="2">
        <f t="shared" si="15"/>
        <v>0</v>
      </c>
      <c r="BO13" s="2">
        <f t="shared" si="15"/>
        <v>0</v>
      </c>
      <c r="BP13" s="2">
        <f t="shared" si="11"/>
        <v>0</v>
      </c>
      <c r="BQ13" s="2">
        <f t="shared" si="12"/>
        <v>0</v>
      </c>
      <c r="BR13" s="2">
        <f t="shared" si="12"/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2">
        <f t="shared" si="12"/>
        <v>0</v>
      </c>
      <c r="BW13" s="2">
        <f t="shared" si="12"/>
        <v>0</v>
      </c>
      <c r="BX13" s="2">
        <f t="shared" si="12"/>
        <v>0</v>
      </c>
      <c r="BY13" s="2">
        <f t="shared" si="9"/>
        <v>0</v>
      </c>
      <c r="CB13" s="21"/>
      <c r="CC13" s="2">
        <v>21</v>
      </c>
      <c r="CD13" s="3">
        <f t="shared" si="10"/>
        <v>1.5625E-2</v>
      </c>
      <c r="CE13" s="3">
        <f t="shared" si="10"/>
        <v>1.5625E-2</v>
      </c>
      <c r="CF13" s="3">
        <f t="shared" si="10"/>
        <v>1.5625E-2</v>
      </c>
      <c r="CG13" s="3">
        <f t="shared" si="10"/>
        <v>3.125E-2</v>
      </c>
      <c r="CH13" s="3">
        <f t="shared" si="10"/>
        <v>3.125E-2</v>
      </c>
      <c r="CI13" s="3">
        <f t="shared" si="10"/>
        <v>3.125E-2</v>
      </c>
      <c r="CJ13" s="3">
        <f t="shared" si="10"/>
        <v>1.5625E-2</v>
      </c>
      <c r="CK13" s="3">
        <f t="shared" si="10"/>
        <v>4.6875E-2</v>
      </c>
      <c r="CL13" s="3">
        <f t="shared" si="10"/>
        <v>1.5625E-2</v>
      </c>
      <c r="CM13" s="3">
        <f t="shared" si="10"/>
        <v>3.125E-2</v>
      </c>
      <c r="CN13" s="3">
        <f t="shared" si="10"/>
        <v>3.125E-2</v>
      </c>
      <c r="CO13" s="3">
        <f t="shared" si="10"/>
        <v>1.5625E-2</v>
      </c>
      <c r="CP13" s="3">
        <f t="shared" si="10"/>
        <v>3.125E-2</v>
      </c>
      <c r="CQ13" s="3">
        <f t="shared" si="10"/>
        <v>3.125E-2</v>
      </c>
      <c r="CR13" s="3">
        <f t="shared" si="10"/>
        <v>1.5625E-2</v>
      </c>
      <c r="CS13" s="3">
        <f t="shared" si="10"/>
        <v>4.6875E-2</v>
      </c>
      <c r="CT13" s="3">
        <f t="shared" si="13"/>
        <v>3.125E-2</v>
      </c>
      <c r="CU13" s="3">
        <f t="shared" si="13"/>
        <v>1.5625E-2</v>
      </c>
      <c r="CV13" s="3">
        <f t="shared" si="13"/>
        <v>3.125E-2</v>
      </c>
      <c r="CW13" s="3">
        <f t="shared" si="13"/>
        <v>1.5625E-2</v>
      </c>
      <c r="CX13" s="3">
        <f t="shared" si="13"/>
        <v>1.5625E-2</v>
      </c>
      <c r="CY13" s="3">
        <f t="shared" si="13"/>
        <v>3.125E-2</v>
      </c>
      <c r="CZ13" s="3">
        <f t="shared" si="13"/>
        <v>1.5625E-2</v>
      </c>
      <c r="DA13" s="3">
        <f t="shared" si="13"/>
        <v>1.5625E-2</v>
      </c>
      <c r="DB13" s="3">
        <f t="shared" si="13"/>
        <v>4.6875E-2</v>
      </c>
      <c r="DC13" s="3">
        <f t="shared" si="13"/>
        <v>1.5625E-2</v>
      </c>
      <c r="DD13" s="3">
        <f t="shared" si="13"/>
        <v>4.6875E-2</v>
      </c>
      <c r="DE13" s="3">
        <f t="shared" si="13"/>
        <v>3.125E-2</v>
      </c>
      <c r="DF13" s="3">
        <f t="shared" si="13"/>
        <v>1.5625E-2</v>
      </c>
      <c r="DG13" s="3">
        <f t="shared" si="13"/>
        <v>1.5625E-2</v>
      </c>
      <c r="DH13" s="3">
        <f t="shared" si="13"/>
        <v>4.6875E-2</v>
      </c>
      <c r="DI13" s="3">
        <f t="shared" si="13"/>
        <v>3.125E-2</v>
      </c>
      <c r="DJ13" s="3">
        <f t="shared" si="14"/>
        <v>1.5625E-2</v>
      </c>
      <c r="DK13" s="3">
        <f t="shared" si="14"/>
        <v>1.5625E-2</v>
      </c>
      <c r="DL13" s="3">
        <f t="shared" si="14"/>
        <v>1.5625E-2</v>
      </c>
      <c r="DM13" s="3">
        <f t="shared" si="14"/>
        <v>3.125E-2</v>
      </c>
      <c r="DN13" s="3">
        <f t="shared" si="14"/>
        <v>1.5625E-2</v>
      </c>
      <c r="DO13" s="3">
        <f t="shared" si="14"/>
        <v>1.5625E-2</v>
      </c>
      <c r="DP13" s="3">
        <f t="shared" si="14"/>
        <v>1.5625E-2</v>
      </c>
      <c r="DQ13" s="3">
        <f t="shared" si="14"/>
        <v>1.5625E-2</v>
      </c>
      <c r="DR13" s="3">
        <f t="shared" si="14"/>
        <v>1.5625E-2</v>
      </c>
      <c r="DS13" s="2">
        <v>1</v>
      </c>
    </row>
    <row r="14" spans="1:125" x14ac:dyDescent="0.3">
      <c r="A14" s="2">
        <v>57</v>
      </c>
      <c r="B14" s="4">
        <v>18</v>
      </c>
      <c r="C14" s="6">
        <v>30</v>
      </c>
      <c r="D14" s="21"/>
      <c r="E14" s="2">
        <v>57</v>
      </c>
      <c r="F14" s="2">
        <f t="shared" si="6"/>
        <v>0</v>
      </c>
      <c r="G14" s="2">
        <f t="shared" si="0"/>
        <v>0</v>
      </c>
      <c r="H14" s="2">
        <f t="shared" si="0"/>
        <v>0</v>
      </c>
      <c r="I14" s="2">
        <f t="shared" si="0"/>
        <v>0</v>
      </c>
      <c r="J14" s="2">
        <f t="shared" si="0"/>
        <v>0</v>
      </c>
      <c r="K14" s="2">
        <f t="shared" si="0"/>
        <v>0</v>
      </c>
      <c r="L14" s="2">
        <f t="shared" si="0"/>
        <v>0</v>
      </c>
      <c r="M14" s="2">
        <f t="shared" si="0"/>
        <v>0</v>
      </c>
      <c r="N14" s="2">
        <f t="shared" si="0"/>
        <v>0</v>
      </c>
      <c r="O14" s="2">
        <f t="shared" si="0"/>
        <v>0</v>
      </c>
      <c r="P14" s="2">
        <f t="shared" si="1"/>
        <v>0</v>
      </c>
      <c r="R14" s="21"/>
      <c r="S14" s="2">
        <v>33</v>
      </c>
      <c r="T14" s="2">
        <f t="shared" si="7"/>
        <v>0.17199999999999999</v>
      </c>
      <c r="U14" s="2">
        <f t="shared" si="3"/>
        <v>9.4E-2</v>
      </c>
      <c r="V14" s="2">
        <f t="shared" si="3"/>
        <v>7.8E-2</v>
      </c>
      <c r="W14" s="2">
        <f t="shared" si="3"/>
        <v>0.125</v>
      </c>
      <c r="X14" s="2">
        <f t="shared" si="3"/>
        <v>7.8E-2</v>
      </c>
      <c r="Y14" s="2">
        <f t="shared" si="3"/>
        <v>7.8E-2</v>
      </c>
      <c r="Z14" s="2">
        <f t="shared" si="3"/>
        <v>6.3E-2</v>
      </c>
      <c r="AA14" s="2">
        <f t="shared" si="3"/>
        <v>7.8E-2</v>
      </c>
      <c r="AB14" s="2">
        <f t="shared" si="3"/>
        <v>0.109</v>
      </c>
      <c r="AC14" s="2">
        <f t="shared" si="3"/>
        <v>0.125</v>
      </c>
      <c r="AD14" s="2">
        <v>1</v>
      </c>
      <c r="AH14" s="21"/>
      <c r="AI14" s="2">
        <v>33</v>
      </c>
      <c r="AJ14" s="2">
        <f t="shared" si="8"/>
        <v>0</v>
      </c>
      <c r="AK14" s="2">
        <f t="shared" si="8"/>
        <v>0</v>
      </c>
      <c r="AL14" s="2">
        <f t="shared" si="8"/>
        <v>0</v>
      </c>
      <c r="AM14" s="2">
        <f t="shared" si="8"/>
        <v>0</v>
      </c>
      <c r="AN14" s="2">
        <f t="shared" si="8"/>
        <v>0</v>
      </c>
      <c r="AO14" s="2">
        <f t="shared" si="8"/>
        <v>0</v>
      </c>
      <c r="AP14" s="2">
        <f t="shared" si="8"/>
        <v>0</v>
      </c>
      <c r="AQ14" s="2">
        <f t="shared" si="8"/>
        <v>0</v>
      </c>
      <c r="AR14" s="2">
        <f t="shared" si="8"/>
        <v>0</v>
      </c>
      <c r="AS14" s="2">
        <f t="shared" si="8"/>
        <v>0</v>
      </c>
      <c r="AT14" s="2">
        <f t="shared" si="8"/>
        <v>0</v>
      </c>
      <c r="AU14" s="2">
        <f t="shared" si="8"/>
        <v>0</v>
      </c>
      <c r="AV14" s="2">
        <f t="shared" si="8"/>
        <v>0</v>
      </c>
      <c r="AW14" s="2">
        <f t="shared" si="8"/>
        <v>0</v>
      </c>
      <c r="AX14" s="2">
        <f t="shared" si="8"/>
        <v>0</v>
      </c>
      <c r="AY14" s="2">
        <f t="shared" si="8"/>
        <v>0</v>
      </c>
      <c r="AZ14" s="2">
        <f t="shared" si="15"/>
        <v>0</v>
      </c>
      <c r="BA14" s="2">
        <f t="shared" si="15"/>
        <v>0</v>
      </c>
      <c r="BB14" s="2">
        <f t="shared" si="15"/>
        <v>0</v>
      </c>
      <c r="BC14" s="2">
        <f t="shared" si="15"/>
        <v>0</v>
      </c>
      <c r="BD14" s="2">
        <f t="shared" si="15"/>
        <v>0</v>
      </c>
      <c r="BE14" s="2">
        <f t="shared" si="15"/>
        <v>0</v>
      </c>
      <c r="BF14" s="2">
        <f t="shared" si="15"/>
        <v>0</v>
      </c>
      <c r="BG14" s="2">
        <f t="shared" si="15"/>
        <v>0</v>
      </c>
      <c r="BH14" s="2">
        <f t="shared" si="15"/>
        <v>0</v>
      </c>
      <c r="BI14" s="2">
        <f t="shared" si="15"/>
        <v>0</v>
      </c>
      <c r="BJ14" s="2">
        <f t="shared" si="15"/>
        <v>0</v>
      </c>
      <c r="BK14" s="2">
        <f t="shared" si="15"/>
        <v>0</v>
      </c>
      <c r="BL14" s="2">
        <f t="shared" si="15"/>
        <v>0</v>
      </c>
      <c r="BM14" s="2">
        <f t="shared" si="15"/>
        <v>0</v>
      </c>
      <c r="BN14" s="2">
        <f t="shared" si="15"/>
        <v>0</v>
      </c>
      <c r="BO14" s="2">
        <f t="shared" si="15"/>
        <v>0</v>
      </c>
      <c r="BP14" s="2">
        <f t="shared" si="11"/>
        <v>0</v>
      </c>
      <c r="BQ14" s="2">
        <f t="shared" si="12"/>
        <v>0</v>
      </c>
      <c r="BR14" s="2">
        <f t="shared" si="12"/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2">
        <f t="shared" si="12"/>
        <v>0</v>
      </c>
      <c r="BW14" s="2">
        <f t="shared" si="12"/>
        <v>0</v>
      </c>
      <c r="BX14" s="2">
        <f t="shared" si="12"/>
        <v>0</v>
      </c>
      <c r="BY14" s="2">
        <f t="shared" si="9"/>
        <v>0</v>
      </c>
      <c r="CB14" s="21"/>
      <c r="CC14" s="2">
        <v>33</v>
      </c>
      <c r="CD14" s="3">
        <f t="shared" si="10"/>
        <v>1.5625E-2</v>
      </c>
      <c r="CE14" s="3">
        <f t="shared" si="10"/>
        <v>1.5625E-2</v>
      </c>
      <c r="CF14" s="3">
        <f t="shared" si="10"/>
        <v>1.5625E-2</v>
      </c>
      <c r="CG14" s="3">
        <f t="shared" si="10"/>
        <v>3.125E-2</v>
      </c>
      <c r="CH14" s="3">
        <f t="shared" si="10"/>
        <v>3.125E-2</v>
      </c>
      <c r="CI14" s="3">
        <f t="shared" si="10"/>
        <v>3.125E-2</v>
      </c>
      <c r="CJ14" s="3">
        <f t="shared" si="10"/>
        <v>1.5625E-2</v>
      </c>
      <c r="CK14" s="3">
        <f t="shared" si="10"/>
        <v>4.6875E-2</v>
      </c>
      <c r="CL14" s="3">
        <f t="shared" si="10"/>
        <v>1.5625E-2</v>
      </c>
      <c r="CM14" s="3">
        <f t="shared" si="10"/>
        <v>3.125E-2</v>
      </c>
      <c r="CN14" s="3">
        <f t="shared" si="10"/>
        <v>3.125E-2</v>
      </c>
      <c r="CO14" s="3">
        <f t="shared" si="10"/>
        <v>1.5625E-2</v>
      </c>
      <c r="CP14" s="3">
        <f t="shared" si="10"/>
        <v>3.125E-2</v>
      </c>
      <c r="CQ14" s="3">
        <f t="shared" si="10"/>
        <v>3.125E-2</v>
      </c>
      <c r="CR14" s="3">
        <f t="shared" si="10"/>
        <v>1.5625E-2</v>
      </c>
      <c r="CS14" s="3">
        <f t="shared" si="10"/>
        <v>4.6875E-2</v>
      </c>
      <c r="CT14" s="3">
        <f t="shared" si="13"/>
        <v>3.125E-2</v>
      </c>
      <c r="CU14" s="3">
        <f t="shared" si="13"/>
        <v>1.5625E-2</v>
      </c>
      <c r="CV14" s="3">
        <f t="shared" si="13"/>
        <v>3.125E-2</v>
      </c>
      <c r="CW14" s="3">
        <f t="shared" si="13"/>
        <v>1.5625E-2</v>
      </c>
      <c r="CX14" s="3">
        <f t="shared" si="13"/>
        <v>1.5625E-2</v>
      </c>
      <c r="CY14" s="3">
        <f t="shared" si="13"/>
        <v>3.125E-2</v>
      </c>
      <c r="CZ14" s="3">
        <f t="shared" si="13"/>
        <v>1.5625E-2</v>
      </c>
      <c r="DA14" s="3">
        <f t="shared" si="13"/>
        <v>1.5625E-2</v>
      </c>
      <c r="DB14" s="3">
        <f t="shared" si="13"/>
        <v>4.6875E-2</v>
      </c>
      <c r="DC14" s="3">
        <f t="shared" si="13"/>
        <v>1.5625E-2</v>
      </c>
      <c r="DD14" s="3">
        <f t="shared" si="13"/>
        <v>4.6875E-2</v>
      </c>
      <c r="DE14" s="3">
        <f t="shared" si="13"/>
        <v>3.125E-2</v>
      </c>
      <c r="DF14" s="3">
        <f t="shared" si="13"/>
        <v>1.5625E-2</v>
      </c>
      <c r="DG14" s="3">
        <f t="shared" si="13"/>
        <v>1.5625E-2</v>
      </c>
      <c r="DH14" s="3">
        <f t="shared" si="13"/>
        <v>4.6875E-2</v>
      </c>
      <c r="DI14" s="3">
        <f t="shared" si="13"/>
        <v>3.125E-2</v>
      </c>
      <c r="DJ14" s="3">
        <f t="shared" si="14"/>
        <v>1.5625E-2</v>
      </c>
      <c r="DK14" s="3">
        <f t="shared" si="14"/>
        <v>1.5625E-2</v>
      </c>
      <c r="DL14" s="3">
        <f t="shared" si="14"/>
        <v>1.5625E-2</v>
      </c>
      <c r="DM14" s="3">
        <f t="shared" si="14"/>
        <v>3.125E-2</v>
      </c>
      <c r="DN14" s="3">
        <f t="shared" si="14"/>
        <v>1.5625E-2</v>
      </c>
      <c r="DO14" s="3">
        <f t="shared" si="14"/>
        <v>1.5625E-2</v>
      </c>
      <c r="DP14" s="3">
        <f t="shared" si="14"/>
        <v>1.5625E-2</v>
      </c>
      <c r="DQ14" s="3">
        <f t="shared" si="14"/>
        <v>1.5625E-2</v>
      </c>
      <c r="DR14" s="3">
        <f t="shared" si="14"/>
        <v>1.5625E-2</v>
      </c>
      <c r="DS14" s="2">
        <v>1</v>
      </c>
    </row>
    <row r="15" spans="1:125" x14ac:dyDescent="0.3">
      <c r="A15" s="2">
        <v>48</v>
      </c>
      <c r="B15" s="4">
        <v>12</v>
      </c>
      <c r="C15" s="6">
        <v>75</v>
      </c>
      <c r="D15" s="21"/>
      <c r="E15" s="2">
        <v>87</v>
      </c>
      <c r="F15" s="2">
        <f t="shared" si="6"/>
        <v>0</v>
      </c>
      <c r="G15" s="2">
        <f t="shared" si="0"/>
        <v>1</v>
      </c>
      <c r="H15" s="2">
        <f t="shared" si="0"/>
        <v>0</v>
      </c>
      <c r="I15" s="2">
        <f t="shared" si="0"/>
        <v>0</v>
      </c>
      <c r="J15" s="2">
        <f t="shared" si="0"/>
        <v>0</v>
      </c>
      <c r="K15" s="2">
        <f t="shared" si="0"/>
        <v>0</v>
      </c>
      <c r="L15" s="2">
        <f t="shared" si="0"/>
        <v>1</v>
      </c>
      <c r="M15" s="2">
        <f t="shared" si="0"/>
        <v>0</v>
      </c>
      <c r="N15" s="2">
        <f t="shared" si="0"/>
        <v>0</v>
      </c>
      <c r="O15" s="2">
        <f t="shared" si="0"/>
        <v>0</v>
      </c>
      <c r="P15" s="2">
        <f t="shared" si="1"/>
        <v>2</v>
      </c>
      <c r="R15" s="21"/>
      <c r="S15" s="2">
        <v>39</v>
      </c>
      <c r="T15" s="2">
        <f t="shared" si="7"/>
        <v>0.51600000000000001</v>
      </c>
      <c r="U15" s="2">
        <f t="shared" si="3"/>
        <v>0.28100000000000003</v>
      </c>
      <c r="V15" s="2">
        <f t="shared" si="3"/>
        <v>0.23400000000000001</v>
      </c>
      <c r="W15" s="2">
        <f t="shared" si="3"/>
        <v>0.375</v>
      </c>
      <c r="X15" s="2">
        <f t="shared" si="3"/>
        <v>0.23400000000000001</v>
      </c>
      <c r="Y15" s="2">
        <f t="shared" si="3"/>
        <v>0.23400000000000001</v>
      </c>
      <c r="Z15" s="2">
        <f t="shared" si="3"/>
        <v>0.188</v>
      </c>
      <c r="AA15" s="2">
        <f t="shared" si="3"/>
        <v>0.23400000000000001</v>
      </c>
      <c r="AB15" s="2">
        <f t="shared" si="3"/>
        <v>0.32800000000000001</v>
      </c>
      <c r="AC15" s="2">
        <f t="shared" si="3"/>
        <v>0.375</v>
      </c>
      <c r="AD15" s="2">
        <v>3</v>
      </c>
      <c r="AH15" s="21"/>
      <c r="AI15" s="2">
        <v>39</v>
      </c>
      <c r="AJ15" s="2">
        <f t="shared" si="8"/>
        <v>0</v>
      </c>
      <c r="AK15" s="2">
        <f t="shared" si="8"/>
        <v>0</v>
      </c>
      <c r="AL15" s="2">
        <f t="shared" si="8"/>
        <v>0</v>
      </c>
      <c r="AM15" s="2">
        <f t="shared" si="8"/>
        <v>0</v>
      </c>
      <c r="AN15" s="2">
        <f t="shared" si="8"/>
        <v>0</v>
      </c>
      <c r="AO15" s="2">
        <f t="shared" si="8"/>
        <v>0</v>
      </c>
      <c r="AP15" s="2">
        <f t="shared" si="8"/>
        <v>0</v>
      </c>
      <c r="AQ15" s="2">
        <f t="shared" si="8"/>
        <v>0</v>
      </c>
      <c r="AR15" s="2">
        <f t="shared" si="8"/>
        <v>0</v>
      </c>
      <c r="AS15" s="2">
        <f t="shared" si="8"/>
        <v>0</v>
      </c>
      <c r="AT15" s="2">
        <f t="shared" si="8"/>
        <v>0</v>
      </c>
      <c r="AU15" s="2">
        <f t="shared" si="8"/>
        <v>0</v>
      </c>
      <c r="AV15" s="2">
        <f t="shared" si="8"/>
        <v>0</v>
      </c>
      <c r="AW15" s="2">
        <f t="shared" si="8"/>
        <v>0</v>
      </c>
      <c r="AX15" s="2">
        <f t="shared" si="8"/>
        <v>0</v>
      </c>
      <c r="AY15" s="2">
        <f t="shared" si="8"/>
        <v>0</v>
      </c>
      <c r="AZ15" s="2">
        <f t="shared" si="15"/>
        <v>0</v>
      </c>
      <c r="BA15" s="2">
        <f t="shared" si="15"/>
        <v>0</v>
      </c>
      <c r="BB15" s="2">
        <f t="shared" si="15"/>
        <v>0</v>
      </c>
      <c r="BC15" s="2">
        <f t="shared" si="15"/>
        <v>0</v>
      </c>
      <c r="BD15" s="2">
        <f t="shared" si="15"/>
        <v>0</v>
      </c>
      <c r="BE15" s="2">
        <f t="shared" si="15"/>
        <v>0</v>
      </c>
      <c r="BF15" s="2">
        <f t="shared" si="15"/>
        <v>0</v>
      </c>
      <c r="BG15" s="2">
        <f t="shared" si="15"/>
        <v>0</v>
      </c>
      <c r="BH15" s="2">
        <f t="shared" si="15"/>
        <v>0</v>
      </c>
      <c r="BI15" s="2">
        <f t="shared" si="15"/>
        <v>0</v>
      </c>
      <c r="BJ15" s="2">
        <f t="shared" si="15"/>
        <v>0</v>
      </c>
      <c r="BK15" s="2">
        <f t="shared" si="15"/>
        <v>0</v>
      </c>
      <c r="BL15" s="2">
        <f t="shared" si="15"/>
        <v>0</v>
      </c>
      <c r="BM15" s="2">
        <f t="shared" si="15"/>
        <v>0</v>
      </c>
      <c r="BN15" s="2">
        <f t="shared" si="15"/>
        <v>0</v>
      </c>
      <c r="BO15" s="2">
        <f t="shared" si="15"/>
        <v>1</v>
      </c>
      <c r="BP15" s="2">
        <f t="shared" si="11"/>
        <v>0</v>
      </c>
      <c r="BQ15" s="2">
        <f t="shared" si="12"/>
        <v>0</v>
      </c>
      <c r="BR15" s="2">
        <f t="shared" si="12"/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2">
        <f t="shared" si="12"/>
        <v>0</v>
      </c>
      <c r="BW15" s="2">
        <f t="shared" si="12"/>
        <v>0</v>
      </c>
      <c r="BX15" s="2">
        <f t="shared" si="12"/>
        <v>0</v>
      </c>
      <c r="BY15" s="2">
        <f t="shared" si="9"/>
        <v>1</v>
      </c>
      <c r="CB15" s="21"/>
      <c r="CC15" s="2">
        <v>39</v>
      </c>
      <c r="CD15" s="3">
        <f t="shared" si="10"/>
        <v>4.6875E-2</v>
      </c>
      <c r="CE15" s="3">
        <f t="shared" si="10"/>
        <v>4.6875E-2</v>
      </c>
      <c r="CF15" s="3">
        <f t="shared" si="10"/>
        <v>4.6875E-2</v>
      </c>
      <c r="CG15" s="3">
        <f t="shared" si="10"/>
        <v>9.375E-2</v>
      </c>
      <c r="CH15" s="3">
        <f t="shared" si="10"/>
        <v>9.375E-2</v>
      </c>
      <c r="CI15" s="3">
        <f t="shared" si="10"/>
        <v>9.375E-2</v>
      </c>
      <c r="CJ15" s="3">
        <f t="shared" si="10"/>
        <v>4.6875E-2</v>
      </c>
      <c r="CK15" s="3">
        <f t="shared" si="10"/>
        <v>0.140625</v>
      </c>
      <c r="CL15" s="3">
        <f t="shared" si="10"/>
        <v>4.6875E-2</v>
      </c>
      <c r="CM15" s="3">
        <f t="shared" si="10"/>
        <v>9.375E-2</v>
      </c>
      <c r="CN15" s="3">
        <f t="shared" si="10"/>
        <v>9.375E-2</v>
      </c>
      <c r="CO15" s="3">
        <f t="shared" si="10"/>
        <v>4.6875E-2</v>
      </c>
      <c r="CP15" s="3">
        <f t="shared" si="10"/>
        <v>9.375E-2</v>
      </c>
      <c r="CQ15" s="3">
        <f t="shared" si="10"/>
        <v>9.375E-2</v>
      </c>
      <c r="CR15" s="3">
        <f t="shared" si="10"/>
        <v>4.6875E-2</v>
      </c>
      <c r="CS15" s="3">
        <f t="shared" si="10"/>
        <v>0.140625</v>
      </c>
      <c r="CT15" s="3">
        <f t="shared" si="13"/>
        <v>9.375E-2</v>
      </c>
      <c r="CU15" s="3">
        <f t="shared" si="13"/>
        <v>4.6875E-2</v>
      </c>
      <c r="CV15" s="3">
        <f t="shared" si="13"/>
        <v>9.375E-2</v>
      </c>
      <c r="CW15" s="3">
        <f t="shared" si="13"/>
        <v>4.6875E-2</v>
      </c>
      <c r="CX15" s="3">
        <f t="shared" si="13"/>
        <v>4.6875E-2</v>
      </c>
      <c r="CY15" s="3">
        <f t="shared" si="13"/>
        <v>9.375E-2</v>
      </c>
      <c r="CZ15" s="3">
        <f t="shared" si="13"/>
        <v>4.6875E-2</v>
      </c>
      <c r="DA15" s="3">
        <f t="shared" si="13"/>
        <v>4.6875E-2</v>
      </c>
      <c r="DB15" s="3">
        <f t="shared" si="13"/>
        <v>0.140625</v>
      </c>
      <c r="DC15" s="3">
        <f t="shared" si="13"/>
        <v>4.6875E-2</v>
      </c>
      <c r="DD15" s="3">
        <f t="shared" si="13"/>
        <v>0.140625</v>
      </c>
      <c r="DE15" s="3">
        <f t="shared" si="13"/>
        <v>9.375E-2</v>
      </c>
      <c r="DF15" s="3">
        <f t="shared" si="13"/>
        <v>4.6875E-2</v>
      </c>
      <c r="DG15" s="3">
        <f t="shared" si="13"/>
        <v>4.6875E-2</v>
      </c>
      <c r="DH15" s="3">
        <f t="shared" si="13"/>
        <v>0.140625</v>
      </c>
      <c r="DI15" s="3">
        <f t="shared" si="13"/>
        <v>9.375E-2</v>
      </c>
      <c r="DJ15" s="3">
        <f t="shared" si="14"/>
        <v>4.6875E-2</v>
      </c>
      <c r="DK15" s="3">
        <f t="shared" si="14"/>
        <v>4.6875E-2</v>
      </c>
      <c r="DL15" s="3">
        <f t="shared" si="14"/>
        <v>4.6875E-2</v>
      </c>
      <c r="DM15" s="3">
        <f t="shared" si="14"/>
        <v>9.375E-2</v>
      </c>
      <c r="DN15" s="3">
        <f t="shared" si="14"/>
        <v>4.6875E-2</v>
      </c>
      <c r="DO15" s="3">
        <f t="shared" si="14"/>
        <v>4.6875E-2</v>
      </c>
      <c r="DP15" s="3">
        <f t="shared" si="14"/>
        <v>4.6875E-2</v>
      </c>
      <c r="DQ15" s="3">
        <f t="shared" si="14"/>
        <v>4.6875E-2</v>
      </c>
      <c r="DR15" s="3">
        <f t="shared" si="14"/>
        <v>4.6875E-2</v>
      </c>
      <c r="DS15" s="2">
        <v>3</v>
      </c>
    </row>
    <row r="16" spans="1:125" x14ac:dyDescent="0.3">
      <c r="A16" s="2">
        <v>55</v>
      </c>
      <c r="B16" s="4">
        <v>15</v>
      </c>
      <c r="C16" s="6">
        <v>78</v>
      </c>
      <c r="D16" s="21"/>
      <c r="E16" s="2">
        <v>37</v>
      </c>
      <c r="F16" s="2">
        <f t="shared" si="6"/>
        <v>0</v>
      </c>
      <c r="G16" s="2">
        <f t="shared" si="0"/>
        <v>0</v>
      </c>
      <c r="H16" s="2">
        <f t="shared" si="0"/>
        <v>0</v>
      </c>
      <c r="I16" s="2">
        <f t="shared" si="0"/>
        <v>0</v>
      </c>
      <c r="J16" s="2">
        <f t="shared" si="0"/>
        <v>0</v>
      </c>
      <c r="K16" s="2">
        <f t="shared" si="0"/>
        <v>0</v>
      </c>
      <c r="L16" s="2">
        <f t="shared" si="0"/>
        <v>1</v>
      </c>
      <c r="M16" s="2">
        <f t="shared" si="0"/>
        <v>0</v>
      </c>
      <c r="N16" s="2">
        <f t="shared" si="0"/>
        <v>0</v>
      </c>
      <c r="O16" s="2">
        <f t="shared" si="0"/>
        <v>0</v>
      </c>
      <c r="P16" s="2">
        <f t="shared" si="1"/>
        <v>1</v>
      </c>
      <c r="R16" s="21"/>
      <c r="S16" s="2">
        <v>64</v>
      </c>
      <c r="T16" s="2">
        <f t="shared" si="7"/>
        <v>0.17199999999999999</v>
      </c>
      <c r="U16" s="2">
        <f t="shared" si="3"/>
        <v>9.4E-2</v>
      </c>
      <c r="V16" s="2">
        <f t="shared" si="3"/>
        <v>7.8E-2</v>
      </c>
      <c r="W16" s="2">
        <f t="shared" si="3"/>
        <v>0.125</v>
      </c>
      <c r="X16" s="2">
        <f t="shared" si="3"/>
        <v>7.8E-2</v>
      </c>
      <c r="Y16" s="2">
        <f t="shared" si="3"/>
        <v>7.8E-2</v>
      </c>
      <c r="Z16" s="2">
        <f t="shared" si="3"/>
        <v>6.3E-2</v>
      </c>
      <c r="AA16" s="2">
        <f t="shared" si="3"/>
        <v>7.8E-2</v>
      </c>
      <c r="AB16" s="2">
        <f t="shared" si="3"/>
        <v>0.109</v>
      </c>
      <c r="AC16" s="2">
        <f t="shared" si="3"/>
        <v>0.125</v>
      </c>
      <c r="AD16" s="2">
        <v>1</v>
      </c>
      <c r="AH16" s="21"/>
      <c r="AI16" s="2">
        <v>64</v>
      </c>
      <c r="AJ16" s="2">
        <f t="shared" si="8"/>
        <v>0</v>
      </c>
      <c r="AK16" s="2">
        <f t="shared" si="8"/>
        <v>0</v>
      </c>
      <c r="AL16" s="2">
        <f t="shared" si="8"/>
        <v>0</v>
      </c>
      <c r="AM16" s="2">
        <f t="shared" si="8"/>
        <v>0</v>
      </c>
      <c r="AN16" s="2">
        <f t="shared" si="8"/>
        <v>0</v>
      </c>
      <c r="AO16" s="2">
        <f t="shared" si="8"/>
        <v>0</v>
      </c>
      <c r="AP16" s="2">
        <f t="shared" si="8"/>
        <v>0</v>
      </c>
      <c r="AQ16" s="2">
        <f t="shared" si="8"/>
        <v>0</v>
      </c>
      <c r="AR16" s="2">
        <f t="shared" si="8"/>
        <v>0</v>
      </c>
      <c r="AS16" s="2">
        <f t="shared" si="8"/>
        <v>0</v>
      </c>
      <c r="AT16" s="2">
        <f t="shared" si="8"/>
        <v>0</v>
      </c>
      <c r="AU16" s="2">
        <f t="shared" si="8"/>
        <v>0</v>
      </c>
      <c r="AV16" s="2">
        <f t="shared" si="8"/>
        <v>0</v>
      </c>
      <c r="AW16" s="2">
        <f t="shared" si="8"/>
        <v>0</v>
      </c>
      <c r="AX16" s="2">
        <f t="shared" si="8"/>
        <v>0</v>
      </c>
      <c r="AY16" s="2">
        <f t="shared" si="8"/>
        <v>0</v>
      </c>
      <c r="AZ16" s="2">
        <f t="shared" si="15"/>
        <v>0</v>
      </c>
      <c r="BA16" s="2">
        <f t="shared" si="15"/>
        <v>0</v>
      </c>
      <c r="BB16" s="2">
        <f t="shared" si="15"/>
        <v>0</v>
      </c>
      <c r="BC16" s="2">
        <f t="shared" si="15"/>
        <v>0</v>
      </c>
      <c r="BD16" s="2">
        <f t="shared" si="15"/>
        <v>0</v>
      </c>
      <c r="BE16" s="2">
        <f t="shared" si="15"/>
        <v>0</v>
      </c>
      <c r="BF16" s="2">
        <f t="shared" si="15"/>
        <v>0</v>
      </c>
      <c r="BG16" s="2">
        <f t="shared" si="15"/>
        <v>0</v>
      </c>
      <c r="BH16" s="2">
        <f t="shared" si="15"/>
        <v>0</v>
      </c>
      <c r="BI16" s="2">
        <f t="shared" si="15"/>
        <v>0</v>
      </c>
      <c r="BJ16" s="2">
        <f t="shared" si="15"/>
        <v>0</v>
      </c>
      <c r="BK16" s="2">
        <f t="shared" si="15"/>
        <v>0</v>
      </c>
      <c r="BL16" s="2">
        <f t="shared" si="15"/>
        <v>0</v>
      </c>
      <c r="BM16" s="2">
        <f t="shared" si="15"/>
        <v>0</v>
      </c>
      <c r="BN16" s="2">
        <f t="shared" si="15"/>
        <v>0</v>
      </c>
      <c r="BO16" s="2">
        <f t="shared" si="15"/>
        <v>0</v>
      </c>
      <c r="BP16" s="2">
        <f t="shared" si="11"/>
        <v>0</v>
      </c>
      <c r="BQ16" s="2">
        <f t="shared" si="12"/>
        <v>0</v>
      </c>
      <c r="BR16" s="2">
        <f t="shared" si="12"/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2">
        <f t="shared" si="12"/>
        <v>0</v>
      </c>
      <c r="BW16" s="2">
        <f t="shared" si="12"/>
        <v>0</v>
      </c>
      <c r="BX16" s="2">
        <f t="shared" si="12"/>
        <v>0</v>
      </c>
      <c r="BY16" s="2">
        <f t="shared" si="9"/>
        <v>0</v>
      </c>
      <c r="CB16" s="21"/>
      <c r="CC16" s="2">
        <v>64</v>
      </c>
      <c r="CD16" s="3">
        <f t="shared" si="10"/>
        <v>1.5625E-2</v>
      </c>
      <c r="CE16" s="3">
        <f t="shared" si="10"/>
        <v>1.5625E-2</v>
      </c>
      <c r="CF16" s="3">
        <f t="shared" si="10"/>
        <v>1.5625E-2</v>
      </c>
      <c r="CG16" s="3">
        <f t="shared" si="10"/>
        <v>3.125E-2</v>
      </c>
      <c r="CH16" s="3">
        <f t="shared" si="10"/>
        <v>3.125E-2</v>
      </c>
      <c r="CI16" s="3">
        <f t="shared" si="10"/>
        <v>3.125E-2</v>
      </c>
      <c r="CJ16" s="3">
        <f t="shared" si="10"/>
        <v>1.5625E-2</v>
      </c>
      <c r="CK16" s="3">
        <f t="shared" si="10"/>
        <v>4.6875E-2</v>
      </c>
      <c r="CL16" s="3">
        <f t="shared" si="10"/>
        <v>1.5625E-2</v>
      </c>
      <c r="CM16" s="3">
        <f t="shared" si="10"/>
        <v>3.125E-2</v>
      </c>
      <c r="CN16" s="3">
        <f t="shared" si="10"/>
        <v>3.125E-2</v>
      </c>
      <c r="CO16" s="3">
        <f t="shared" si="10"/>
        <v>1.5625E-2</v>
      </c>
      <c r="CP16" s="3">
        <f t="shared" si="10"/>
        <v>3.125E-2</v>
      </c>
      <c r="CQ16" s="3">
        <f t="shared" si="10"/>
        <v>3.125E-2</v>
      </c>
      <c r="CR16" s="3">
        <f t="shared" si="10"/>
        <v>1.5625E-2</v>
      </c>
      <c r="CS16" s="3">
        <f t="shared" si="10"/>
        <v>4.6875E-2</v>
      </c>
      <c r="CT16" s="3">
        <f t="shared" si="13"/>
        <v>3.125E-2</v>
      </c>
      <c r="CU16" s="3">
        <f t="shared" si="13"/>
        <v>1.5625E-2</v>
      </c>
      <c r="CV16" s="3">
        <f t="shared" si="13"/>
        <v>3.125E-2</v>
      </c>
      <c r="CW16" s="3">
        <f t="shared" si="13"/>
        <v>1.5625E-2</v>
      </c>
      <c r="CX16" s="3">
        <f t="shared" si="13"/>
        <v>1.5625E-2</v>
      </c>
      <c r="CY16" s="3">
        <f t="shared" si="13"/>
        <v>3.125E-2</v>
      </c>
      <c r="CZ16" s="3">
        <f t="shared" si="13"/>
        <v>1.5625E-2</v>
      </c>
      <c r="DA16" s="3">
        <f t="shared" si="13"/>
        <v>1.5625E-2</v>
      </c>
      <c r="DB16" s="3">
        <f t="shared" si="13"/>
        <v>4.6875E-2</v>
      </c>
      <c r="DC16" s="3">
        <f t="shared" si="13"/>
        <v>1.5625E-2</v>
      </c>
      <c r="DD16" s="3">
        <f t="shared" si="13"/>
        <v>4.6875E-2</v>
      </c>
      <c r="DE16" s="3">
        <f t="shared" si="13"/>
        <v>3.125E-2</v>
      </c>
      <c r="DF16" s="3">
        <f t="shared" si="13"/>
        <v>1.5625E-2</v>
      </c>
      <c r="DG16" s="3">
        <f t="shared" si="13"/>
        <v>1.5625E-2</v>
      </c>
      <c r="DH16" s="3">
        <f t="shared" si="13"/>
        <v>4.6875E-2</v>
      </c>
      <c r="DI16" s="3">
        <f t="shared" si="13"/>
        <v>3.125E-2</v>
      </c>
      <c r="DJ16" s="3">
        <f t="shared" si="14"/>
        <v>1.5625E-2</v>
      </c>
      <c r="DK16" s="3">
        <f t="shared" si="14"/>
        <v>1.5625E-2</v>
      </c>
      <c r="DL16" s="3">
        <f t="shared" si="14"/>
        <v>1.5625E-2</v>
      </c>
      <c r="DM16" s="3">
        <f t="shared" si="14"/>
        <v>3.125E-2</v>
      </c>
      <c r="DN16" s="3">
        <f t="shared" si="14"/>
        <v>1.5625E-2</v>
      </c>
      <c r="DO16" s="3">
        <f t="shared" si="14"/>
        <v>1.5625E-2</v>
      </c>
      <c r="DP16" s="3">
        <f t="shared" si="14"/>
        <v>1.5625E-2</v>
      </c>
      <c r="DQ16" s="3">
        <f t="shared" si="14"/>
        <v>1.5625E-2</v>
      </c>
      <c r="DR16" s="3">
        <f t="shared" si="14"/>
        <v>1.5625E-2</v>
      </c>
      <c r="DS16" s="2">
        <v>1</v>
      </c>
    </row>
    <row r="17" spans="1:123" x14ac:dyDescent="0.3">
      <c r="A17" s="2">
        <v>87</v>
      </c>
      <c r="B17" s="4">
        <v>7</v>
      </c>
      <c r="C17" s="6">
        <v>53</v>
      </c>
      <c r="D17" s="21"/>
      <c r="E17" s="2">
        <v>49</v>
      </c>
      <c r="F17" s="2">
        <f t="shared" si="6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2">
        <f t="shared" si="0"/>
        <v>0</v>
      </c>
      <c r="O17" s="2">
        <f t="shared" si="0"/>
        <v>0</v>
      </c>
      <c r="P17" s="2">
        <f t="shared" si="1"/>
        <v>0</v>
      </c>
      <c r="R17" s="21"/>
      <c r="S17" s="2">
        <v>74</v>
      </c>
      <c r="T17" s="2">
        <f t="shared" si="7"/>
        <v>0.17199999999999999</v>
      </c>
      <c r="U17" s="2">
        <f t="shared" si="3"/>
        <v>9.4E-2</v>
      </c>
      <c r="V17" s="2">
        <f t="shared" si="3"/>
        <v>7.8E-2</v>
      </c>
      <c r="W17" s="2">
        <f t="shared" si="3"/>
        <v>0.125</v>
      </c>
      <c r="X17" s="2">
        <f t="shared" si="3"/>
        <v>7.8E-2</v>
      </c>
      <c r="Y17" s="2">
        <f t="shared" si="3"/>
        <v>7.8E-2</v>
      </c>
      <c r="Z17" s="2">
        <f t="shared" si="3"/>
        <v>6.3E-2</v>
      </c>
      <c r="AA17" s="2">
        <f t="shared" si="3"/>
        <v>7.8E-2</v>
      </c>
      <c r="AB17" s="2">
        <f t="shared" si="3"/>
        <v>0.109</v>
      </c>
      <c r="AC17" s="2">
        <f t="shared" si="3"/>
        <v>0.125</v>
      </c>
      <c r="AD17" s="2">
        <v>1</v>
      </c>
      <c r="AH17" s="21"/>
      <c r="AI17" s="2">
        <v>74</v>
      </c>
      <c r="AJ17" s="2">
        <f t="shared" si="8"/>
        <v>0</v>
      </c>
      <c r="AK17" s="2">
        <f t="shared" si="8"/>
        <v>0</v>
      </c>
      <c r="AL17" s="2">
        <f t="shared" si="8"/>
        <v>0</v>
      </c>
      <c r="AM17" s="2">
        <f t="shared" si="8"/>
        <v>0</v>
      </c>
      <c r="AN17" s="2">
        <f t="shared" si="8"/>
        <v>0</v>
      </c>
      <c r="AO17" s="2">
        <f t="shared" si="8"/>
        <v>0</v>
      </c>
      <c r="AP17" s="2">
        <f t="shared" si="8"/>
        <v>0</v>
      </c>
      <c r="AQ17" s="2">
        <f t="shared" si="8"/>
        <v>0</v>
      </c>
      <c r="AR17" s="2">
        <f t="shared" si="8"/>
        <v>0</v>
      </c>
      <c r="AS17" s="2">
        <f t="shared" si="8"/>
        <v>0</v>
      </c>
      <c r="AT17" s="2">
        <f t="shared" si="8"/>
        <v>0</v>
      </c>
      <c r="AU17" s="2">
        <f t="shared" si="8"/>
        <v>0</v>
      </c>
      <c r="AV17" s="2">
        <f t="shared" si="8"/>
        <v>0</v>
      </c>
      <c r="AW17" s="2">
        <f t="shared" si="8"/>
        <v>0</v>
      </c>
      <c r="AX17" s="2">
        <f t="shared" si="8"/>
        <v>0</v>
      </c>
      <c r="AY17" s="2">
        <f t="shared" si="8"/>
        <v>0</v>
      </c>
      <c r="AZ17" s="2">
        <f t="shared" si="15"/>
        <v>0</v>
      </c>
      <c r="BA17" s="2">
        <f t="shared" si="15"/>
        <v>0</v>
      </c>
      <c r="BB17" s="2">
        <f t="shared" si="15"/>
        <v>0</v>
      </c>
      <c r="BC17" s="2">
        <f t="shared" si="15"/>
        <v>0</v>
      </c>
      <c r="BD17" s="2">
        <f t="shared" si="15"/>
        <v>0</v>
      </c>
      <c r="BE17" s="2">
        <f t="shared" si="15"/>
        <v>0</v>
      </c>
      <c r="BF17" s="2">
        <f t="shared" si="15"/>
        <v>0</v>
      </c>
      <c r="BG17" s="2">
        <f t="shared" si="15"/>
        <v>0</v>
      </c>
      <c r="BH17" s="2">
        <f t="shared" si="15"/>
        <v>0</v>
      </c>
      <c r="BI17" s="2">
        <f t="shared" si="15"/>
        <v>0</v>
      </c>
      <c r="BJ17" s="2">
        <f t="shared" si="15"/>
        <v>0</v>
      </c>
      <c r="BK17" s="2">
        <f t="shared" si="15"/>
        <v>0</v>
      </c>
      <c r="BL17" s="2">
        <f t="shared" si="15"/>
        <v>0</v>
      </c>
      <c r="BM17" s="2">
        <f t="shared" si="15"/>
        <v>0</v>
      </c>
      <c r="BN17" s="2">
        <f t="shared" si="15"/>
        <v>0</v>
      </c>
      <c r="BO17" s="2">
        <f t="shared" si="15"/>
        <v>0</v>
      </c>
      <c r="BP17" s="2">
        <f t="shared" si="11"/>
        <v>0</v>
      </c>
      <c r="BQ17" s="2">
        <f t="shared" si="12"/>
        <v>0</v>
      </c>
      <c r="BR17" s="2">
        <f t="shared" si="12"/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2">
        <f t="shared" si="12"/>
        <v>0</v>
      </c>
      <c r="BW17" s="2">
        <f t="shared" si="12"/>
        <v>0</v>
      </c>
      <c r="BX17" s="2">
        <f t="shared" si="12"/>
        <v>0</v>
      </c>
      <c r="BY17" s="2">
        <f t="shared" si="9"/>
        <v>0</v>
      </c>
      <c r="CB17" s="21"/>
      <c r="CC17" s="2">
        <v>74</v>
      </c>
      <c r="CD17" s="3">
        <f t="shared" si="10"/>
        <v>1.5625E-2</v>
      </c>
      <c r="CE17" s="3">
        <f t="shared" si="10"/>
        <v>1.5625E-2</v>
      </c>
      <c r="CF17" s="3">
        <f t="shared" si="10"/>
        <v>1.5625E-2</v>
      </c>
      <c r="CG17" s="3">
        <f t="shared" si="10"/>
        <v>3.125E-2</v>
      </c>
      <c r="CH17" s="3">
        <f t="shared" si="10"/>
        <v>3.125E-2</v>
      </c>
      <c r="CI17" s="3">
        <f t="shared" si="10"/>
        <v>3.125E-2</v>
      </c>
      <c r="CJ17" s="3">
        <f t="shared" si="10"/>
        <v>1.5625E-2</v>
      </c>
      <c r="CK17" s="3">
        <f t="shared" si="10"/>
        <v>4.6875E-2</v>
      </c>
      <c r="CL17" s="3">
        <f t="shared" si="10"/>
        <v>1.5625E-2</v>
      </c>
      <c r="CM17" s="3">
        <f t="shared" si="10"/>
        <v>3.125E-2</v>
      </c>
      <c r="CN17" s="3">
        <f t="shared" si="10"/>
        <v>3.125E-2</v>
      </c>
      <c r="CO17" s="3">
        <f t="shared" si="10"/>
        <v>1.5625E-2</v>
      </c>
      <c r="CP17" s="3">
        <f t="shared" si="10"/>
        <v>3.125E-2</v>
      </c>
      <c r="CQ17" s="3">
        <f t="shared" si="10"/>
        <v>3.125E-2</v>
      </c>
      <c r="CR17" s="3">
        <f t="shared" si="10"/>
        <v>1.5625E-2</v>
      </c>
      <c r="CS17" s="3">
        <f t="shared" si="10"/>
        <v>4.6875E-2</v>
      </c>
      <c r="CT17" s="3">
        <f t="shared" si="13"/>
        <v>3.125E-2</v>
      </c>
      <c r="CU17" s="3">
        <f t="shared" si="13"/>
        <v>1.5625E-2</v>
      </c>
      <c r="CV17" s="3">
        <f t="shared" si="13"/>
        <v>3.125E-2</v>
      </c>
      <c r="CW17" s="3">
        <f t="shared" si="13"/>
        <v>1.5625E-2</v>
      </c>
      <c r="CX17" s="3">
        <f t="shared" si="13"/>
        <v>1.5625E-2</v>
      </c>
      <c r="CY17" s="3">
        <f t="shared" si="13"/>
        <v>3.125E-2</v>
      </c>
      <c r="CZ17" s="3">
        <f t="shared" si="13"/>
        <v>1.5625E-2</v>
      </c>
      <c r="DA17" s="3">
        <f t="shared" si="13"/>
        <v>1.5625E-2</v>
      </c>
      <c r="DB17" s="3">
        <f t="shared" si="13"/>
        <v>4.6875E-2</v>
      </c>
      <c r="DC17" s="3">
        <f t="shared" si="13"/>
        <v>1.5625E-2</v>
      </c>
      <c r="DD17" s="3">
        <f t="shared" si="13"/>
        <v>4.6875E-2</v>
      </c>
      <c r="DE17" s="3">
        <f t="shared" si="13"/>
        <v>3.125E-2</v>
      </c>
      <c r="DF17" s="3">
        <f t="shared" si="13"/>
        <v>1.5625E-2</v>
      </c>
      <c r="DG17" s="3">
        <f t="shared" si="13"/>
        <v>1.5625E-2</v>
      </c>
      <c r="DH17" s="3">
        <f t="shared" si="13"/>
        <v>4.6875E-2</v>
      </c>
      <c r="DI17" s="3">
        <f t="shared" si="13"/>
        <v>3.125E-2</v>
      </c>
      <c r="DJ17" s="3">
        <f t="shared" si="14"/>
        <v>1.5625E-2</v>
      </c>
      <c r="DK17" s="3">
        <f t="shared" si="14"/>
        <v>1.5625E-2</v>
      </c>
      <c r="DL17" s="3">
        <f t="shared" si="14"/>
        <v>1.5625E-2</v>
      </c>
      <c r="DM17" s="3">
        <f t="shared" si="14"/>
        <v>3.125E-2</v>
      </c>
      <c r="DN17" s="3">
        <f t="shared" si="14"/>
        <v>1.5625E-2</v>
      </c>
      <c r="DO17" s="3">
        <f t="shared" si="14"/>
        <v>1.5625E-2</v>
      </c>
      <c r="DP17" s="3">
        <f t="shared" si="14"/>
        <v>1.5625E-2</v>
      </c>
      <c r="DQ17" s="3">
        <f t="shared" si="14"/>
        <v>1.5625E-2</v>
      </c>
      <c r="DR17" s="3">
        <f t="shared" si="14"/>
        <v>1.5625E-2</v>
      </c>
      <c r="DS17" s="2">
        <v>1</v>
      </c>
    </row>
    <row r="18" spans="1:123" x14ac:dyDescent="0.3">
      <c r="A18" s="2">
        <v>55</v>
      </c>
      <c r="B18" s="4">
        <v>15</v>
      </c>
      <c r="C18" s="6">
        <v>71</v>
      </c>
      <c r="D18" s="21"/>
      <c r="E18" s="2">
        <v>50</v>
      </c>
      <c r="F18" s="2">
        <f t="shared" si="6"/>
        <v>1</v>
      </c>
      <c r="G18" s="2">
        <f t="shared" si="0"/>
        <v>0</v>
      </c>
      <c r="H18" s="2">
        <f t="shared" si="0"/>
        <v>0</v>
      </c>
      <c r="I18" s="2">
        <f t="shared" si="0"/>
        <v>1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  <c r="N18" s="2">
        <f t="shared" si="0"/>
        <v>0</v>
      </c>
      <c r="O18" s="2">
        <f t="shared" si="0"/>
        <v>0</v>
      </c>
      <c r="P18" s="2">
        <f t="shared" si="1"/>
        <v>2</v>
      </c>
      <c r="R18" s="21"/>
      <c r="S18" s="2">
        <v>56</v>
      </c>
      <c r="T18" s="2">
        <f t="shared" si="7"/>
        <v>0.34399999999999997</v>
      </c>
      <c r="U18" s="2">
        <f t="shared" si="3"/>
        <v>0.188</v>
      </c>
      <c r="V18" s="2">
        <f t="shared" si="3"/>
        <v>0.156</v>
      </c>
      <c r="W18" s="2">
        <f t="shared" si="3"/>
        <v>0.25</v>
      </c>
      <c r="X18" s="2">
        <f t="shared" si="3"/>
        <v>0.156</v>
      </c>
      <c r="Y18" s="2">
        <f t="shared" si="3"/>
        <v>0.156</v>
      </c>
      <c r="Z18" s="2">
        <f t="shared" si="3"/>
        <v>0.125</v>
      </c>
      <c r="AA18" s="2">
        <f t="shared" si="3"/>
        <v>0.156</v>
      </c>
      <c r="AB18" s="2">
        <f t="shared" si="3"/>
        <v>0.219</v>
      </c>
      <c r="AC18" s="2">
        <f t="shared" si="3"/>
        <v>0.25</v>
      </c>
      <c r="AD18" s="2">
        <v>2</v>
      </c>
      <c r="AH18" s="21"/>
      <c r="AI18" s="2">
        <v>56</v>
      </c>
      <c r="AJ18" s="2">
        <f t="shared" si="8"/>
        <v>0</v>
      </c>
      <c r="AK18" s="2">
        <f t="shared" si="8"/>
        <v>0</v>
      </c>
      <c r="AL18" s="2">
        <f t="shared" si="8"/>
        <v>0</v>
      </c>
      <c r="AM18" s="2">
        <f t="shared" si="8"/>
        <v>0</v>
      </c>
      <c r="AN18" s="2">
        <f t="shared" si="8"/>
        <v>0</v>
      </c>
      <c r="AO18" s="2">
        <f t="shared" si="8"/>
        <v>0</v>
      </c>
      <c r="AP18" s="2">
        <f t="shared" si="8"/>
        <v>0</v>
      </c>
      <c r="AQ18" s="2">
        <f t="shared" si="8"/>
        <v>0</v>
      </c>
      <c r="AR18" s="2">
        <f t="shared" si="8"/>
        <v>0</v>
      </c>
      <c r="AS18" s="2">
        <f t="shared" si="8"/>
        <v>0</v>
      </c>
      <c r="AT18" s="2">
        <f t="shared" si="8"/>
        <v>0</v>
      </c>
      <c r="AU18" s="2">
        <f t="shared" si="8"/>
        <v>0</v>
      </c>
      <c r="AV18" s="2">
        <f t="shared" si="8"/>
        <v>0</v>
      </c>
      <c r="AW18" s="2">
        <f t="shared" si="8"/>
        <v>0</v>
      </c>
      <c r="AX18" s="2">
        <f t="shared" si="8"/>
        <v>0</v>
      </c>
      <c r="AY18" s="2">
        <f t="shared" si="8"/>
        <v>0</v>
      </c>
      <c r="AZ18" s="2">
        <f t="shared" si="15"/>
        <v>0</v>
      </c>
      <c r="BA18" s="2">
        <f t="shared" si="15"/>
        <v>0</v>
      </c>
      <c r="BB18" s="2">
        <f t="shared" si="15"/>
        <v>0</v>
      </c>
      <c r="BC18" s="2">
        <f t="shared" si="15"/>
        <v>0</v>
      </c>
      <c r="BD18" s="2">
        <f t="shared" si="15"/>
        <v>0</v>
      </c>
      <c r="BE18" s="2">
        <f t="shared" si="15"/>
        <v>0</v>
      </c>
      <c r="BF18" s="2">
        <f t="shared" si="15"/>
        <v>0</v>
      </c>
      <c r="BG18" s="2">
        <f t="shared" si="15"/>
        <v>0</v>
      </c>
      <c r="BH18" s="2">
        <f t="shared" si="15"/>
        <v>0</v>
      </c>
      <c r="BI18" s="2">
        <f t="shared" si="15"/>
        <v>0</v>
      </c>
      <c r="BJ18" s="2">
        <f t="shared" si="15"/>
        <v>0</v>
      </c>
      <c r="BK18" s="2">
        <f t="shared" si="15"/>
        <v>0</v>
      </c>
      <c r="BL18" s="2">
        <f t="shared" si="15"/>
        <v>0</v>
      </c>
      <c r="BM18" s="2">
        <f t="shared" si="15"/>
        <v>0</v>
      </c>
      <c r="BN18" s="2">
        <f t="shared" si="15"/>
        <v>0</v>
      </c>
      <c r="BO18" s="2">
        <f t="shared" si="15"/>
        <v>0</v>
      </c>
      <c r="BP18" s="2">
        <f t="shared" si="11"/>
        <v>0</v>
      </c>
      <c r="BQ18" s="2">
        <f t="shared" si="12"/>
        <v>0</v>
      </c>
      <c r="BR18" s="2">
        <f t="shared" si="12"/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2">
        <f t="shared" si="12"/>
        <v>0</v>
      </c>
      <c r="BW18" s="2">
        <f t="shared" si="12"/>
        <v>0</v>
      </c>
      <c r="BX18" s="2">
        <f t="shared" si="12"/>
        <v>0</v>
      </c>
      <c r="BY18" s="2">
        <f t="shared" si="9"/>
        <v>0</v>
      </c>
      <c r="CB18" s="21"/>
      <c r="CC18" s="2">
        <v>56</v>
      </c>
      <c r="CD18" s="3">
        <f t="shared" si="10"/>
        <v>3.125E-2</v>
      </c>
      <c r="CE18" s="3">
        <f t="shared" si="10"/>
        <v>3.125E-2</v>
      </c>
      <c r="CF18" s="3">
        <f t="shared" si="10"/>
        <v>3.125E-2</v>
      </c>
      <c r="CG18" s="3">
        <f t="shared" si="10"/>
        <v>6.25E-2</v>
      </c>
      <c r="CH18" s="3">
        <f t="shared" si="10"/>
        <v>6.25E-2</v>
      </c>
      <c r="CI18" s="3">
        <f t="shared" si="10"/>
        <v>6.25E-2</v>
      </c>
      <c r="CJ18" s="3">
        <f t="shared" si="10"/>
        <v>3.125E-2</v>
      </c>
      <c r="CK18" s="3">
        <f t="shared" si="10"/>
        <v>9.375E-2</v>
      </c>
      <c r="CL18" s="3">
        <f t="shared" si="10"/>
        <v>3.125E-2</v>
      </c>
      <c r="CM18" s="3">
        <f t="shared" si="10"/>
        <v>6.25E-2</v>
      </c>
      <c r="CN18" s="3">
        <f t="shared" si="10"/>
        <v>6.25E-2</v>
      </c>
      <c r="CO18" s="3">
        <f t="shared" si="10"/>
        <v>3.125E-2</v>
      </c>
      <c r="CP18" s="3">
        <f t="shared" si="10"/>
        <v>6.25E-2</v>
      </c>
      <c r="CQ18" s="3">
        <f t="shared" si="10"/>
        <v>6.25E-2</v>
      </c>
      <c r="CR18" s="3">
        <f t="shared" si="10"/>
        <v>3.125E-2</v>
      </c>
      <c r="CS18" s="3">
        <f t="shared" si="10"/>
        <v>9.375E-2</v>
      </c>
      <c r="CT18" s="3">
        <f t="shared" si="13"/>
        <v>6.25E-2</v>
      </c>
      <c r="CU18" s="3">
        <f t="shared" si="13"/>
        <v>3.125E-2</v>
      </c>
      <c r="CV18" s="3">
        <f t="shared" si="13"/>
        <v>6.25E-2</v>
      </c>
      <c r="CW18" s="3">
        <f t="shared" si="13"/>
        <v>3.125E-2</v>
      </c>
      <c r="CX18" s="3">
        <f t="shared" si="13"/>
        <v>3.125E-2</v>
      </c>
      <c r="CY18" s="3">
        <f t="shared" si="13"/>
        <v>6.25E-2</v>
      </c>
      <c r="CZ18" s="3">
        <f t="shared" si="13"/>
        <v>3.125E-2</v>
      </c>
      <c r="DA18" s="3">
        <f t="shared" si="13"/>
        <v>3.125E-2</v>
      </c>
      <c r="DB18" s="3">
        <f t="shared" si="13"/>
        <v>9.375E-2</v>
      </c>
      <c r="DC18" s="3">
        <f t="shared" si="13"/>
        <v>3.125E-2</v>
      </c>
      <c r="DD18" s="3">
        <f t="shared" si="13"/>
        <v>9.375E-2</v>
      </c>
      <c r="DE18" s="3">
        <f t="shared" si="13"/>
        <v>6.25E-2</v>
      </c>
      <c r="DF18" s="3">
        <f t="shared" si="13"/>
        <v>3.125E-2</v>
      </c>
      <c r="DG18" s="3">
        <f t="shared" si="13"/>
        <v>3.125E-2</v>
      </c>
      <c r="DH18" s="3">
        <f t="shared" si="13"/>
        <v>9.375E-2</v>
      </c>
      <c r="DI18" s="3">
        <f t="shared" si="13"/>
        <v>6.25E-2</v>
      </c>
      <c r="DJ18" s="3">
        <f t="shared" si="14"/>
        <v>3.125E-2</v>
      </c>
      <c r="DK18" s="3">
        <f t="shared" si="14"/>
        <v>3.125E-2</v>
      </c>
      <c r="DL18" s="3">
        <f t="shared" si="14"/>
        <v>3.125E-2</v>
      </c>
      <c r="DM18" s="3">
        <f t="shared" si="14"/>
        <v>6.25E-2</v>
      </c>
      <c r="DN18" s="3">
        <f t="shared" si="14"/>
        <v>3.125E-2</v>
      </c>
      <c r="DO18" s="3">
        <f t="shared" si="14"/>
        <v>3.125E-2</v>
      </c>
      <c r="DP18" s="3">
        <f t="shared" si="14"/>
        <v>3.125E-2</v>
      </c>
      <c r="DQ18" s="3">
        <f t="shared" si="14"/>
        <v>3.125E-2</v>
      </c>
      <c r="DR18" s="3">
        <f t="shared" si="14"/>
        <v>3.125E-2</v>
      </c>
      <c r="DS18" s="2">
        <v>2</v>
      </c>
    </row>
    <row r="19" spans="1:123" x14ac:dyDescent="0.3">
      <c r="A19" s="2">
        <v>37</v>
      </c>
      <c r="B19" s="4">
        <v>7</v>
      </c>
      <c r="C19" s="6">
        <v>80</v>
      </c>
      <c r="D19" s="21"/>
      <c r="E19" s="2">
        <v>38</v>
      </c>
      <c r="F19" s="2">
        <f t="shared" si="6"/>
        <v>0</v>
      </c>
      <c r="G19" s="2">
        <f t="shared" si="0"/>
        <v>0</v>
      </c>
      <c r="H19" s="2">
        <f t="shared" si="0"/>
        <v>0</v>
      </c>
      <c r="I19" s="2">
        <f t="shared" si="0"/>
        <v>0</v>
      </c>
      <c r="J19" s="2">
        <f t="shared" si="0"/>
        <v>0</v>
      </c>
      <c r="K19" s="2">
        <f t="shared" si="0"/>
        <v>0</v>
      </c>
      <c r="L19" s="2">
        <f t="shared" si="0"/>
        <v>0</v>
      </c>
      <c r="M19" s="2">
        <f t="shared" si="0"/>
        <v>0</v>
      </c>
      <c r="N19" s="2">
        <f t="shared" si="0"/>
        <v>0</v>
      </c>
      <c r="O19" s="2">
        <f t="shared" si="0"/>
        <v>0</v>
      </c>
      <c r="P19" s="2">
        <f t="shared" si="1"/>
        <v>0</v>
      </c>
      <c r="R19" s="21"/>
      <c r="S19" s="2">
        <v>53</v>
      </c>
      <c r="T19" s="2">
        <f t="shared" si="7"/>
        <v>0.34399999999999997</v>
      </c>
      <c r="U19" s="2">
        <f t="shared" si="3"/>
        <v>0.188</v>
      </c>
      <c r="V19" s="2">
        <f t="shared" si="3"/>
        <v>0.156</v>
      </c>
      <c r="W19" s="2">
        <f t="shared" si="3"/>
        <v>0.25</v>
      </c>
      <c r="X19" s="2">
        <f t="shared" si="3"/>
        <v>0.156</v>
      </c>
      <c r="Y19" s="2">
        <f t="shared" si="3"/>
        <v>0.156</v>
      </c>
      <c r="Z19" s="2">
        <f t="shared" si="3"/>
        <v>0.125</v>
      </c>
      <c r="AA19" s="2">
        <f t="shared" si="3"/>
        <v>0.156</v>
      </c>
      <c r="AB19" s="2">
        <f t="shared" si="3"/>
        <v>0.219</v>
      </c>
      <c r="AC19" s="2">
        <f t="shared" si="3"/>
        <v>0.25</v>
      </c>
      <c r="AD19" s="2">
        <v>2</v>
      </c>
      <c r="AH19" s="21"/>
      <c r="AI19" s="2">
        <v>53</v>
      </c>
      <c r="AJ19" s="2">
        <f t="shared" si="8"/>
        <v>0</v>
      </c>
      <c r="AK19" s="2">
        <f t="shared" si="8"/>
        <v>0</v>
      </c>
      <c r="AL19" s="2">
        <f t="shared" si="8"/>
        <v>0</v>
      </c>
      <c r="AM19" s="2">
        <f t="shared" si="8"/>
        <v>0</v>
      </c>
      <c r="AN19" s="2">
        <f t="shared" si="8"/>
        <v>0</v>
      </c>
      <c r="AO19" s="2">
        <f t="shared" si="8"/>
        <v>0</v>
      </c>
      <c r="AP19" s="2">
        <f t="shared" si="8"/>
        <v>0</v>
      </c>
      <c r="AQ19" s="2">
        <f t="shared" si="8"/>
        <v>0</v>
      </c>
      <c r="AR19" s="2">
        <f t="shared" si="8"/>
        <v>0</v>
      </c>
      <c r="AS19" s="2">
        <f t="shared" si="8"/>
        <v>0</v>
      </c>
      <c r="AT19" s="2">
        <f t="shared" si="8"/>
        <v>0</v>
      </c>
      <c r="AU19" s="2">
        <f t="shared" si="8"/>
        <v>0</v>
      </c>
      <c r="AV19" s="2">
        <f t="shared" si="8"/>
        <v>0</v>
      </c>
      <c r="AW19" s="2">
        <f t="shared" si="8"/>
        <v>0</v>
      </c>
      <c r="AX19" s="2">
        <f t="shared" si="8"/>
        <v>0</v>
      </c>
      <c r="AY19" s="2">
        <f t="shared" si="8"/>
        <v>0</v>
      </c>
      <c r="AZ19" s="2">
        <f t="shared" si="15"/>
        <v>0</v>
      </c>
      <c r="BA19" s="2">
        <f t="shared" si="15"/>
        <v>0</v>
      </c>
      <c r="BB19" s="2">
        <f t="shared" si="15"/>
        <v>0</v>
      </c>
      <c r="BC19" s="2">
        <f t="shared" si="15"/>
        <v>0</v>
      </c>
      <c r="BD19" s="2">
        <f t="shared" si="15"/>
        <v>0</v>
      </c>
      <c r="BE19" s="2">
        <f t="shared" si="15"/>
        <v>0</v>
      </c>
      <c r="BF19" s="2">
        <f t="shared" si="15"/>
        <v>0</v>
      </c>
      <c r="BG19" s="2">
        <f t="shared" si="15"/>
        <v>0</v>
      </c>
      <c r="BH19" s="2">
        <f t="shared" si="15"/>
        <v>0</v>
      </c>
      <c r="BI19" s="2">
        <f t="shared" si="15"/>
        <v>0</v>
      </c>
      <c r="BJ19" s="2">
        <f t="shared" si="15"/>
        <v>0</v>
      </c>
      <c r="BK19" s="2">
        <f t="shared" si="15"/>
        <v>0</v>
      </c>
      <c r="BL19" s="2">
        <f t="shared" si="15"/>
        <v>0</v>
      </c>
      <c r="BM19" s="2">
        <f t="shared" si="15"/>
        <v>0</v>
      </c>
      <c r="BN19" s="2">
        <f t="shared" si="15"/>
        <v>0</v>
      </c>
      <c r="BO19" s="2">
        <f t="shared" si="15"/>
        <v>0</v>
      </c>
      <c r="BP19" s="2">
        <f t="shared" si="11"/>
        <v>0</v>
      </c>
      <c r="BQ19" s="2">
        <f t="shared" si="12"/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9"/>
        <v>0</v>
      </c>
      <c r="CB19" s="21"/>
      <c r="CC19" s="2">
        <v>53</v>
      </c>
      <c r="CD19" s="3">
        <f t="shared" si="10"/>
        <v>3.125E-2</v>
      </c>
      <c r="CE19" s="3">
        <f t="shared" si="10"/>
        <v>3.125E-2</v>
      </c>
      <c r="CF19" s="3">
        <f t="shared" si="10"/>
        <v>3.125E-2</v>
      </c>
      <c r="CG19" s="3">
        <f t="shared" si="10"/>
        <v>6.25E-2</v>
      </c>
      <c r="CH19" s="3">
        <f t="shared" si="10"/>
        <v>6.25E-2</v>
      </c>
      <c r="CI19" s="3">
        <f t="shared" si="10"/>
        <v>6.25E-2</v>
      </c>
      <c r="CJ19" s="3">
        <f t="shared" si="10"/>
        <v>3.125E-2</v>
      </c>
      <c r="CK19" s="3">
        <f t="shared" si="10"/>
        <v>9.375E-2</v>
      </c>
      <c r="CL19" s="3">
        <f t="shared" si="10"/>
        <v>3.125E-2</v>
      </c>
      <c r="CM19" s="3">
        <f t="shared" si="10"/>
        <v>6.25E-2</v>
      </c>
      <c r="CN19" s="3">
        <f t="shared" si="10"/>
        <v>6.25E-2</v>
      </c>
      <c r="CO19" s="3">
        <f t="shared" si="10"/>
        <v>3.125E-2</v>
      </c>
      <c r="CP19" s="3">
        <f t="shared" si="10"/>
        <v>6.25E-2</v>
      </c>
      <c r="CQ19" s="3">
        <f t="shared" si="10"/>
        <v>6.25E-2</v>
      </c>
      <c r="CR19" s="3">
        <f t="shared" si="10"/>
        <v>3.125E-2</v>
      </c>
      <c r="CS19" s="3">
        <f t="shared" si="10"/>
        <v>9.375E-2</v>
      </c>
      <c r="CT19" s="3">
        <f t="shared" si="13"/>
        <v>6.25E-2</v>
      </c>
      <c r="CU19" s="3">
        <f t="shared" si="13"/>
        <v>3.125E-2</v>
      </c>
      <c r="CV19" s="3">
        <f t="shared" si="13"/>
        <v>6.25E-2</v>
      </c>
      <c r="CW19" s="3">
        <f t="shared" si="13"/>
        <v>3.125E-2</v>
      </c>
      <c r="CX19" s="3">
        <f t="shared" si="13"/>
        <v>3.125E-2</v>
      </c>
      <c r="CY19" s="3">
        <f t="shared" si="13"/>
        <v>6.25E-2</v>
      </c>
      <c r="CZ19" s="3">
        <f t="shared" si="13"/>
        <v>3.125E-2</v>
      </c>
      <c r="DA19" s="3">
        <f t="shared" si="13"/>
        <v>3.125E-2</v>
      </c>
      <c r="DB19" s="3">
        <f t="shared" si="13"/>
        <v>9.375E-2</v>
      </c>
      <c r="DC19" s="3">
        <f t="shared" si="13"/>
        <v>3.125E-2</v>
      </c>
      <c r="DD19" s="3">
        <f t="shared" si="13"/>
        <v>9.375E-2</v>
      </c>
      <c r="DE19" s="3">
        <f t="shared" si="13"/>
        <v>6.25E-2</v>
      </c>
      <c r="DF19" s="3">
        <f t="shared" si="13"/>
        <v>3.125E-2</v>
      </c>
      <c r="DG19" s="3">
        <f t="shared" si="13"/>
        <v>3.125E-2</v>
      </c>
      <c r="DH19" s="3">
        <f t="shared" si="13"/>
        <v>9.375E-2</v>
      </c>
      <c r="DI19" s="3">
        <f t="shared" si="13"/>
        <v>6.25E-2</v>
      </c>
      <c r="DJ19" s="3">
        <f t="shared" si="14"/>
        <v>3.125E-2</v>
      </c>
      <c r="DK19" s="3">
        <f t="shared" si="14"/>
        <v>3.125E-2</v>
      </c>
      <c r="DL19" s="3">
        <f t="shared" si="14"/>
        <v>3.125E-2</v>
      </c>
      <c r="DM19" s="3">
        <f t="shared" si="14"/>
        <v>6.25E-2</v>
      </c>
      <c r="DN19" s="3">
        <f t="shared" si="14"/>
        <v>3.125E-2</v>
      </c>
      <c r="DO19" s="3">
        <f t="shared" si="14"/>
        <v>3.125E-2</v>
      </c>
      <c r="DP19" s="3">
        <f t="shared" si="14"/>
        <v>3.125E-2</v>
      </c>
      <c r="DQ19" s="3">
        <f t="shared" si="14"/>
        <v>3.125E-2</v>
      </c>
      <c r="DR19" s="3">
        <f t="shared" si="14"/>
        <v>3.125E-2</v>
      </c>
      <c r="DS19" s="2">
        <v>2</v>
      </c>
    </row>
    <row r="20" spans="1:123" x14ac:dyDescent="0.3">
      <c r="A20" s="2">
        <v>49</v>
      </c>
      <c r="B20" s="4">
        <v>19</v>
      </c>
      <c r="C20" s="6">
        <v>30</v>
      </c>
      <c r="D20" s="21"/>
      <c r="E20" s="2">
        <v>23</v>
      </c>
      <c r="F20" s="2">
        <f t="shared" si="6"/>
        <v>0</v>
      </c>
      <c r="G20" s="2">
        <f t="shared" si="6"/>
        <v>1</v>
      </c>
      <c r="H20" s="2">
        <f t="shared" si="6"/>
        <v>0</v>
      </c>
      <c r="I20" s="2">
        <f t="shared" si="6"/>
        <v>0</v>
      </c>
      <c r="J20" s="2">
        <f t="shared" si="6"/>
        <v>0</v>
      </c>
      <c r="K20" s="2">
        <f t="shared" si="6"/>
        <v>0</v>
      </c>
      <c r="L20" s="2">
        <f t="shared" si="6"/>
        <v>0</v>
      </c>
      <c r="M20" s="2">
        <f t="shared" si="6"/>
        <v>0</v>
      </c>
      <c r="N20" s="2">
        <f t="shared" si="6"/>
        <v>0</v>
      </c>
      <c r="O20" s="2">
        <f t="shared" si="6"/>
        <v>0</v>
      </c>
      <c r="P20" s="2">
        <f t="shared" si="1"/>
        <v>1</v>
      </c>
      <c r="R20" s="21"/>
      <c r="S20" s="2">
        <v>71</v>
      </c>
      <c r="T20" s="2">
        <f t="shared" si="7"/>
        <v>0.17199999999999999</v>
      </c>
      <c r="U20" s="2">
        <f t="shared" si="7"/>
        <v>9.4E-2</v>
      </c>
      <c r="V20" s="2">
        <f t="shared" si="7"/>
        <v>7.8E-2</v>
      </c>
      <c r="W20" s="2">
        <f t="shared" si="7"/>
        <v>0.125</v>
      </c>
      <c r="X20" s="2">
        <f t="shared" si="7"/>
        <v>7.8E-2</v>
      </c>
      <c r="Y20" s="2">
        <f t="shared" si="7"/>
        <v>7.8E-2</v>
      </c>
      <c r="Z20" s="2">
        <f t="shared" si="7"/>
        <v>6.3E-2</v>
      </c>
      <c r="AA20" s="2">
        <f t="shared" si="7"/>
        <v>7.8E-2</v>
      </c>
      <c r="AB20" s="2">
        <f t="shared" si="7"/>
        <v>0.109</v>
      </c>
      <c r="AC20" s="2">
        <f t="shared" si="7"/>
        <v>0.125</v>
      </c>
      <c r="AD20" s="2">
        <v>1</v>
      </c>
      <c r="AH20" s="21"/>
      <c r="AI20" s="2">
        <v>71</v>
      </c>
      <c r="AJ20" s="2">
        <f t="shared" si="8"/>
        <v>0</v>
      </c>
      <c r="AK20" s="2">
        <f t="shared" si="8"/>
        <v>0</v>
      </c>
      <c r="AL20" s="2">
        <f t="shared" si="8"/>
        <v>0</v>
      </c>
      <c r="AM20" s="2">
        <f t="shared" si="8"/>
        <v>0</v>
      </c>
      <c r="AN20" s="2">
        <f t="shared" si="8"/>
        <v>0</v>
      </c>
      <c r="AO20" s="2">
        <f t="shared" si="8"/>
        <v>0</v>
      </c>
      <c r="AP20" s="2">
        <f t="shared" si="8"/>
        <v>0</v>
      </c>
      <c r="AQ20" s="2">
        <f t="shared" si="8"/>
        <v>0</v>
      </c>
      <c r="AR20" s="2">
        <f t="shared" si="8"/>
        <v>0</v>
      </c>
      <c r="AS20" s="2">
        <f t="shared" si="8"/>
        <v>0</v>
      </c>
      <c r="AT20" s="2">
        <f t="shared" si="8"/>
        <v>1</v>
      </c>
      <c r="AU20" s="2">
        <f t="shared" si="8"/>
        <v>0</v>
      </c>
      <c r="AV20" s="2">
        <f t="shared" si="8"/>
        <v>0</v>
      </c>
      <c r="AW20" s="2">
        <f t="shared" si="8"/>
        <v>0</v>
      </c>
      <c r="AX20" s="2">
        <f t="shared" si="8"/>
        <v>0</v>
      </c>
      <c r="AY20" s="2">
        <f t="shared" si="8"/>
        <v>0</v>
      </c>
      <c r="AZ20" s="2">
        <f t="shared" si="15"/>
        <v>0</v>
      </c>
      <c r="BA20" s="2">
        <f t="shared" si="15"/>
        <v>0</v>
      </c>
      <c r="BB20" s="2">
        <f t="shared" si="15"/>
        <v>0</v>
      </c>
      <c r="BC20" s="2">
        <f t="shared" si="15"/>
        <v>0</v>
      </c>
      <c r="BD20" s="2">
        <f t="shared" si="15"/>
        <v>0</v>
      </c>
      <c r="BE20" s="2">
        <f t="shared" si="15"/>
        <v>0</v>
      </c>
      <c r="BF20" s="2">
        <f t="shared" si="15"/>
        <v>0</v>
      </c>
      <c r="BG20" s="2">
        <f t="shared" si="15"/>
        <v>0</v>
      </c>
      <c r="BH20" s="2">
        <f t="shared" si="15"/>
        <v>0</v>
      </c>
      <c r="BI20" s="2">
        <f t="shared" si="15"/>
        <v>0</v>
      </c>
      <c r="BJ20" s="2">
        <f t="shared" si="15"/>
        <v>0</v>
      </c>
      <c r="BK20" s="2">
        <f t="shared" si="15"/>
        <v>0</v>
      </c>
      <c r="BL20" s="2">
        <f t="shared" si="15"/>
        <v>0</v>
      </c>
      <c r="BM20" s="2">
        <f t="shared" si="15"/>
        <v>0</v>
      </c>
      <c r="BN20" s="2">
        <f t="shared" si="15"/>
        <v>0</v>
      </c>
      <c r="BO20" s="2">
        <f t="shared" si="15"/>
        <v>0</v>
      </c>
      <c r="BP20" s="2">
        <f t="shared" si="11"/>
        <v>0</v>
      </c>
      <c r="BQ20" s="2">
        <f t="shared" si="12"/>
        <v>0</v>
      </c>
      <c r="BR20" s="2">
        <f t="shared" si="12"/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2">
        <f t="shared" si="12"/>
        <v>0</v>
      </c>
      <c r="BW20" s="2">
        <f t="shared" si="12"/>
        <v>0</v>
      </c>
      <c r="BX20" s="2">
        <f t="shared" si="12"/>
        <v>0</v>
      </c>
      <c r="BY20" s="2">
        <f t="shared" si="9"/>
        <v>1</v>
      </c>
      <c r="CB20" s="21"/>
      <c r="CC20" s="2">
        <v>71</v>
      </c>
      <c r="CD20" s="3">
        <f t="shared" si="10"/>
        <v>1.5625E-2</v>
      </c>
      <c r="CE20" s="3">
        <f t="shared" si="10"/>
        <v>1.5625E-2</v>
      </c>
      <c r="CF20" s="3">
        <f t="shared" si="10"/>
        <v>1.5625E-2</v>
      </c>
      <c r="CG20" s="3">
        <f t="shared" si="10"/>
        <v>3.125E-2</v>
      </c>
      <c r="CH20" s="3">
        <f t="shared" si="10"/>
        <v>3.125E-2</v>
      </c>
      <c r="CI20" s="3">
        <f t="shared" si="10"/>
        <v>3.125E-2</v>
      </c>
      <c r="CJ20" s="3">
        <f t="shared" si="10"/>
        <v>1.5625E-2</v>
      </c>
      <c r="CK20" s="3">
        <f t="shared" si="10"/>
        <v>4.6875E-2</v>
      </c>
      <c r="CL20" s="3">
        <f t="shared" si="10"/>
        <v>1.5625E-2</v>
      </c>
      <c r="CM20" s="3">
        <f t="shared" si="10"/>
        <v>3.125E-2</v>
      </c>
      <c r="CN20" s="3">
        <f t="shared" si="10"/>
        <v>3.125E-2</v>
      </c>
      <c r="CO20" s="3">
        <f t="shared" si="10"/>
        <v>1.5625E-2</v>
      </c>
      <c r="CP20" s="3">
        <f t="shared" si="10"/>
        <v>3.125E-2</v>
      </c>
      <c r="CQ20" s="3">
        <f t="shared" si="10"/>
        <v>3.125E-2</v>
      </c>
      <c r="CR20" s="3">
        <f t="shared" si="10"/>
        <v>1.5625E-2</v>
      </c>
      <c r="CS20" s="3">
        <f t="shared" si="10"/>
        <v>4.6875E-2</v>
      </c>
      <c r="CT20" s="3">
        <f t="shared" si="13"/>
        <v>3.125E-2</v>
      </c>
      <c r="CU20" s="3">
        <f t="shared" si="13"/>
        <v>1.5625E-2</v>
      </c>
      <c r="CV20" s="3">
        <f t="shared" si="13"/>
        <v>3.125E-2</v>
      </c>
      <c r="CW20" s="3">
        <f t="shared" si="13"/>
        <v>1.5625E-2</v>
      </c>
      <c r="CX20" s="3">
        <f t="shared" si="13"/>
        <v>1.5625E-2</v>
      </c>
      <c r="CY20" s="3">
        <f t="shared" si="13"/>
        <v>3.125E-2</v>
      </c>
      <c r="CZ20" s="3">
        <f t="shared" si="13"/>
        <v>1.5625E-2</v>
      </c>
      <c r="DA20" s="3">
        <f t="shared" si="13"/>
        <v>1.5625E-2</v>
      </c>
      <c r="DB20" s="3">
        <f t="shared" si="13"/>
        <v>4.6875E-2</v>
      </c>
      <c r="DC20" s="3">
        <f t="shared" si="13"/>
        <v>1.5625E-2</v>
      </c>
      <c r="DD20" s="3">
        <f t="shared" si="13"/>
        <v>4.6875E-2</v>
      </c>
      <c r="DE20" s="3">
        <f t="shared" si="13"/>
        <v>3.125E-2</v>
      </c>
      <c r="DF20" s="3">
        <f t="shared" si="13"/>
        <v>1.5625E-2</v>
      </c>
      <c r="DG20" s="3">
        <f t="shared" si="13"/>
        <v>1.5625E-2</v>
      </c>
      <c r="DH20" s="3">
        <f t="shared" si="13"/>
        <v>4.6875E-2</v>
      </c>
      <c r="DI20" s="3">
        <f t="shared" si="13"/>
        <v>3.125E-2</v>
      </c>
      <c r="DJ20" s="3">
        <f t="shared" si="14"/>
        <v>1.5625E-2</v>
      </c>
      <c r="DK20" s="3">
        <f t="shared" si="14"/>
        <v>1.5625E-2</v>
      </c>
      <c r="DL20" s="3">
        <f t="shared" si="14"/>
        <v>1.5625E-2</v>
      </c>
      <c r="DM20" s="3">
        <f t="shared" si="14"/>
        <v>3.125E-2</v>
      </c>
      <c r="DN20" s="3">
        <f t="shared" si="14"/>
        <v>1.5625E-2</v>
      </c>
      <c r="DO20" s="3">
        <f t="shared" si="14"/>
        <v>1.5625E-2</v>
      </c>
      <c r="DP20" s="3">
        <f t="shared" si="14"/>
        <v>1.5625E-2</v>
      </c>
      <c r="DQ20" s="3">
        <f t="shared" si="14"/>
        <v>1.5625E-2</v>
      </c>
      <c r="DR20" s="3">
        <f t="shared" si="14"/>
        <v>1.5625E-2</v>
      </c>
      <c r="DS20" s="2">
        <v>1</v>
      </c>
    </row>
    <row r="21" spans="1:123" x14ac:dyDescent="0.3">
      <c r="A21" s="2">
        <v>55</v>
      </c>
      <c r="B21" s="4">
        <v>15</v>
      </c>
      <c r="C21" s="6">
        <v>74</v>
      </c>
      <c r="D21" s="21"/>
      <c r="E21" s="2">
        <v>60</v>
      </c>
      <c r="F21" s="2">
        <f t="shared" si="6"/>
        <v>0</v>
      </c>
      <c r="G21" s="2">
        <f t="shared" si="6"/>
        <v>0</v>
      </c>
      <c r="H21" s="2">
        <f t="shared" si="6"/>
        <v>0</v>
      </c>
      <c r="I21" s="2">
        <f t="shared" si="6"/>
        <v>0</v>
      </c>
      <c r="J21" s="2">
        <f t="shared" si="6"/>
        <v>1</v>
      </c>
      <c r="K21" s="2">
        <f t="shared" si="6"/>
        <v>0</v>
      </c>
      <c r="L21" s="2">
        <f t="shared" si="6"/>
        <v>0</v>
      </c>
      <c r="M21" s="2">
        <f t="shared" si="6"/>
        <v>0</v>
      </c>
      <c r="N21" s="2">
        <f t="shared" si="6"/>
        <v>0</v>
      </c>
      <c r="O21" s="2">
        <f t="shared" si="6"/>
        <v>0</v>
      </c>
      <c r="P21" s="2">
        <f t="shared" si="1"/>
        <v>1</v>
      </c>
      <c r="R21" s="21"/>
      <c r="S21" s="2">
        <v>23</v>
      </c>
      <c r="T21" s="2">
        <f t="shared" si="7"/>
        <v>0.17199999999999999</v>
      </c>
      <c r="U21" s="2">
        <f t="shared" si="7"/>
        <v>9.4E-2</v>
      </c>
      <c r="V21" s="2">
        <f t="shared" si="7"/>
        <v>7.8E-2</v>
      </c>
      <c r="W21" s="2">
        <f t="shared" si="7"/>
        <v>0.125</v>
      </c>
      <c r="X21" s="2">
        <f t="shared" si="7"/>
        <v>7.8E-2</v>
      </c>
      <c r="Y21" s="2">
        <f t="shared" si="7"/>
        <v>7.8E-2</v>
      </c>
      <c r="Z21" s="2">
        <f t="shared" si="7"/>
        <v>6.3E-2</v>
      </c>
      <c r="AA21" s="2">
        <f t="shared" si="7"/>
        <v>7.8E-2</v>
      </c>
      <c r="AB21" s="2">
        <f t="shared" si="7"/>
        <v>0.109</v>
      </c>
      <c r="AC21" s="2">
        <f t="shared" si="7"/>
        <v>0.125</v>
      </c>
      <c r="AD21" s="2">
        <v>1</v>
      </c>
      <c r="AH21" s="21"/>
      <c r="AI21" s="2">
        <v>23</v>
      </c>
      <c r="AJ21" s="2">
        <f t="shared" si="8"/>
        <v>0</v>
      </c>
      <c r="AK21" s="2">
        <f t="shared" si="8"/>
        <v>0</v>
      </c>
      <c r="AL21" s="2">
        <f t="shared" si="8"/>
        <v>0</v>
      </c>
      <c r="AM21" s="2">
        <f t="shared" si="8"/>
        <v>0</v>
      </c>
      <c r="AN21" s="2">
        <f t="shared" si="8"/>
        <v>0</v>
      </c>
      <c r="AO21" s="2">
        <f t="shared" si="8"/>
        <v>1</v>
      </c>
      <c r="AP21" s="2">
        <f t="shared" si="8"/>
        <v>0</v>
      </c>
      <c r="AQ21" s="2">
        <f t="shared" si="8"/>
        <v>0</v>
      </c>
      <c r="AR21" s="2">
        <f t="shared" si="8"/>
        <v>0</v>
      </c>
      <c r="AS21" s="2">
        <f t="shared" si="8"/>
        <v>0</v>
      </c>
      <c r="AT21" s="2">
        <f t="shared" si="8"/>
        <v>0</v>
      </c>
      <c r="AU21" s="2">
        <f t="shared" si="8"/>
        <v>0</v>
      </c>
      <c r="AV21" s="2">
        <f t="shared" si="8"/>
        <v>0</v>
      </c>
      <c r="AW21" s="2">
        <f t="shared" si="8"/>
        <v>0</v>
      </c>
      <c r="AX21" s="2">
        <f t="shared" si="8"/>
        <v>0</v>
      </c>
      <c r="AY21" s="2">
        <f t="shared" si="8"/>
        <v>0</v>
      </c>
      <c r="AZ21" s="2">
        <f t="shared" si="15"/>
        <v>0</v>
      </c>
      <c r="BA21" s="2">
        <f t="shared" si="15"/>
        <v>0</v>
      </c>
      <c r="BB21" s="2">
        <f t="shared" si="15"/>
        <v>0</v>
      </c>
      <c r="BC21" s="2">
        <f t="shared" si="15"/>
        <v>0</v>
      </c>
      <c r="BD21" s="2">
        <f t="shared" si="15"/>
        <v>0</v>
      </c>
      <c r="BE21" s="2">
        <f t="shared" si="15"/>
        <v>0</v>
      </c>
      <c r="BF21" s="2">
        <f t="shared" si="15"/>
        <v>0</v>
      </c>
      <c r="BG21" s="2">
        <f t="shared" si="15"/>
        <v>0</v>
      </c>
      <c r="BH21" s="2">
        <f t="shared" si="15"/>
        <v>0</v>
      </c>
      <c r="BI21" s="2">
        <f t="shared" si="15"/>
        <v>0</v>
      </c>
      <c r="BJ21" s="2">
        <f t="shared" si="15"/>
        <v>0</v>
      </c>
      <c r="BK21" s="2">
        <f t="shared" si="15"/>
        <v>0</v>
      </c>
      <c r="BL21" s="2">
        <f t="shared" si="15"/>
        <v>0</v>
      </c>
      <c r="BM21" s="2">
        <f t="shared" si="15"/>
        <v>0</v>
      </c>
      <c r="BN21" s="2">
        <f t="shared" si="15"/>
        <v>0</v>
      </c>
      <c r="BO21" s="2">
        <f t="shared" si="15"/>
        <v>0</v>
      </c>
      <c r="BP21" s="2">
        <f t="shared" si="11"/>
        <v>0</v>
      </c>
      <c r="BQ21" s="2">
        <f t="shared" si="12"/>
        <v>0</v>
      </c>
      <c r="BR21" s="2">
        <f t="shared" si="12"/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2">
        <f t="shared" si="12"/>
        <v>0</v>
      </c>
      <c r="BW21" s="2">
        <f t="shared" si="12"/>
        <v>0</v>
      </c>
      <c r="BX21" s="2">
        <f t="shared" si="12"/>
        <v>0</v>
      </c>
      <c r="BY21" s="2">
        <f t="shared" si="9"/>
        <v>1</v>
      </c>
      <c r="CB21" s="21"/>
      <c r="CC21" s="2">
        <v>23</v>
      </c>
      <c r="CD21" s="3">
        <f t="shared" si="10"/>
        <v>1.5625E-2</v>
      </c>
      <c r="CE21" s="3">
        <f t="shared" si="10"/>
        <v>1.5625E-2</v>
      </c>
      <c r="CF21" s="3">
        <f t="shared" si="10"/>
        <v>1.5625E-2</v>
      </c>
      <c r="CG21" s="3">
        <f t="shared" si="10"/>
        <v>3.125E-2</v>
      </c>
      <c r="CH21" s="3">
        <f t="shared" si="10"/>
        <v>3.125E-2</v>
      </c>
      <c r="CI21" s="3">
        <f t="shared" si="10"/>
        <v>3.125E-2</v>
      </c>
      <c r="CJ21" s="3">
        <f t="shared" si="10"/>
        <v>1.5625E-2</v>
      </c>
      <c r="CK21" s="3">
        <f t="shared" si="10"/>
        <v>4.6875E-2</v>
      </c>
      <c r="CL21" s="3">
        <f t="shared" si="10"/>
        <v>1.5625E-2</v>
      </c>
      <c r="CM21" s="3">
        <f t="shared" si="10"/>
        <v>3.125E-2</v>
      </c>
      <c r="CN21" s="3">
        <f t="shared" si="10"/>
        <v>3.125E-2</v>
      </c>
      <c r="CO21" s="3">
        <f t="shared" si="10"/>
        <v>1.5625E-2</v>
      </c>
      <c r="CP21" s="3">
        <f t="shared" si="10"/>
        <v>3.125E-2</v>
      </c>
      <c r="CQ21" s="3">
        <f t="shared" si="10"/>
        <v>3.125E-2</v>
      </c>
      <c r="CR21" s="3">
        <f t="shared" si="10"/>
        <v>1.5625E-2</v>
      </c>
      <c r="CS21" s="3">
        <f t="shared" si="10"/>
        <v>4.6875E-2</v>
      </c>
      <c r="CT21" s="3">
        <f t="shared" si="13"/>
        <v>3.125E-2</v>
      </c>
      <c r="CU21" s="3">
        <f t="shared" si="13"/>
        <v>1.5625E-2</v>
      </c>
      <c r="CV21" s="3">
        <f t="shared" si="13"/>
        <v>3.125E-2</v>
      </c>
      <c r="CW21" s="3">
        <f t="shared" si="13"/>
        <v>1.5625E-2</v>
      </c>
      <c r="CX21" s="3">
        <f t="shared" si="13"/>
        <v>1.5625E-2</v>
      </c>
      <c r="CY21" s="3">
        <f t="shared" si="13"/>
        <v>3.125E-2</v>
      </c>
      <c r="CZ21" s="3">
        <f t="shared" si="13"/>
        <v>1.5625E-2</v>
      </c>
      <c r="DA21" s="3">
        <f t="shared" si="13"/>
        <v>1.5625E-2</v>
      </c>
      <c r="DB21" s="3">
        <f t="shared" si="13"/>
        <v>4.6875E-2</v>
      </c>
      <c r="DC21" s="3">
        <f t="shared" si="13"/>
        <v>1.5625E-2</v>
      </c>
      <c r="DD21" s="3">
        <f t="shared" si="13"/>
        <v>4.6875E-2</v>
      </c>
      <c r="DE21" s="3">
        <f t="shared" si="13"/>
        <v>3.125E-2</v>
      </c>
      <c r="DF21" s="3">
        <f t="shared" si="13"/>
        <v>1.5625E-2</v>
      </c>
      <c r="DG21" s="3">
        <f t="shared" si="13"/>
        <v>1.5625E-2</v>
      </c>
      <c r="DH21" s="3">
        <f t="shared" si="13"/>
        <v>4.6875E-2</v>
      </c>
      <c r="DI21" s="3">
        <f t="shared" si="13"/>
        <v>3.125E-2</v>
      </c>
      <c r="DJ21" s="3">
        <f t="shared" si="14"/>
        <v>1.5625E-2</v>
      </c>
      <c r="DK21" s="3">
        <f t="shared" si="14"/>
        <v>1.5625E-2</v>
      </c>
      <c r="DL21" s="3">
        <f t="shared" si="14"/>
        <v>1.5625E-2</v>
      </c>
      <c r="DM21" s="3">
        <f t="shared" si="14"/>
        <v>3.125E-2</v>
      </c>
      <c r="DN21" s="3">
        <f t="shared" si="14"/>
        <v>1.5625E-2</v>
      </c>
      <c r="DO21" s="3">
        <f t="shared" si="14"/>
        <v>1.5625E-2</v>
      </c>
      <c r="DP21" s="3">
        <f t="shared" si="14"/>
        <v>1.5625E-2</v>
      </c>
      <c r="DQ21" s="3">
        <f t="shared" si="14"/>
        <v>1.5625E-2</v>
      </c>
      <c r="DR21" s="3">
        <f t="shared" si="14"/>
        <v>1.5625E-2</v>
      </c>
      <c r="DS21" s="2">
        <v>1</v>
      </c>
    </row>
    <row r="22" spans="1:123" x14ac:dyDescent="0.3">
      <c r="A22" s="2">
        <v>73</v>
      </c>
      <c r="B22" s="4">
        <v>3</v>
      </c>
      <c r="C22" s="6">
        <v>75</v>
      </c>
      <c r="D22" s="21"/>
      <c r="E22" s="2">
        <v>72</v>
      </c>
      <c r="F22" s="2">
        <f t="shared" si="6"/>
        <v>1</v>
      </c>
      <c r="G22" s="2">
        <f t="shared" si="6"/>
        <v>0</v>
      </c>
      <c r="H22" s="2">
        <f t="shared" si="6"/>
        <v>0</v>
      </c>
      <c r="I22" s="2">
        <f t="shared" si="6"/>
        <v>0</v>
      </c>
      <c r="J22" s="2">
        <f t="shared" si="6"/>
        <v>0</v>
      </c>
      <c r="K22" s="2">
        <f t="shared" si="6"/>
        <v>0</v>
      </c>
      <c r="L22" s="2">
        <f t="shared" si="6"/>
        <v>0</v>
      </c>
      <c r="M22" s="2">
        <f t="shared" si="6"/>
        <v>0</v>
      </c>
      <c r="N22" s="2">
        <f t="shared" si="6"/>
        <v>0</v>
      </c>
      <c r="O22" s="2">
        <f t="shared" si="6"/>
        <v>0</v>
      </c>
      <c r="P22" s="2">
        <f t="shared" si="1"/>
        <v>1</v>
      </c>
      <c r="R22" s="21"/>
      <c r="S22" s="2">
        <v>37</v>
      </c>
      <c r="T22" s="2">
        <f t="shared" si="7"/>
        <v>0.17199999999999999</v>
      </c>
      <c r="U22" s="2">
        <f t="shared" si="7"/>
        <v>9.4E-2</v>
      </c>
      <c r="V22" s="2">
        <f t="shared" si="7"/>
        <v>7.8E-2</v>
      </c>
      <c r="W22" s="2">
        <f t="shared" si="7"/>
        <v>0.125</v>
      </c>
      <c r="X22" s="2">
        <f t="shared" si="7"/>
        <v>7.8E-2</v>
      </c>
      <c r="Y22" s="2">
        <f t="shared" si="7"/>
        <v>7.8E-2</v>
      </c>
      <c r="Z22" s="2">
        <f t="shared" si="7"/>
        <v>6.3E-2</v>
      </c>
      <c r="AA22" s="2">
        <f t="shared" si="7"/>
        <v>7.8E-2</v>
      </c>
      <c r="AB22" s="2">
        <f t="shared" si="7"/>
        <v>0.109</v>
      </c>
      <c r="AC22" s="2">
        <f t="shared" si="7"/>
        <v>0.125</v>
      </c>
      <c r="AD22" s="2">
        <v>1</v>
      </c>
      <c r="AH22" s="21"/>
      <c r="AI22" s="2">
        <v>37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0</v>
      </c>
      <c r="AS22" s="2">
        <f t="shared" si="8"/>
        <v>0</v>
      </c>
      <c r="AT22" s="2">
        <f t="shared" si="8"/>
        <v>0</v>
      </c>
      <c r="AU22" s="2">
        <f t="shared" si="8"/>
        <v>0</v>
      </c>
      <c r="AV22" s="2">
        <f t="shared" si="8"/>
        <v>0</v>
      </c>
      <c r="AW22" s="2">
        <f t="shared" si="8"/>
        <v>0</v>
      </c>
      <c r="AX22" s="2">
        <f t="shared" si="8"/>
        <v>0</v>
      </c>
      <c r="AY22" s="2">
        <f t="shared" si="8"/>
        <v>0</v>
      </c>
      <c r="AZ22" s="2">
        <f t="shared" si="15"/>
        <v>1</v>
      </c>
      <c r="BA22" s="2">
        <f t="shared" si="15"/>
        <v>0</v>
      </c>
      <c r="BB22" s="2">
        <f t="shared" si="15"/>
        <v>0</v>
      </c>
      <c r="BC22" s="2">
        <f t="shared" si="15"/>
        <v>0</v>
      </c>
      <c r="BD22" s="2">
        <f t="shared" si="15"/>
        <v>0</v>
      </c>
      <c r="BE22" s="2">
        <f t="shared" si="15"/>
        <v>0</v>
      </c>
      <c r="BF22" s="2">
        <f t="shared" si="15"/>
        <v>0</v>
      </c>
      <c r="BG22" s="2">
        <f t="shared" si="15"/>
        <v>0</v>
      </c>
      <c r="BH22" s="2">
        <f t="shared" si="15"/>
        <v>0</v>
      </c>
      <c r="BI22" s="2">
        <f t="shared" si="15"/>
        <v>0</v>
      </c>
      <c r="BJ22" s="2">
        <f t="shared" si="15"/>
        <v>0</v>
      </c>
      <c r="BK22" s="2">
        <f t="shared" si="15"/>
        <v>0</v>
      </c>
      <c r="BL22" s="2">
        <f t="shared" si="15"/>
        <v>0</v>
      </c>
      <c r="BM22" s="2">
        <f t="shared" si="15"/>
        <v>0</v>
      </c>
      <c r="BN22" s="2">
        <f t="shared" si="15"/>
        <v>0</v>
      </c>
      <c r="BO22" s="2">
        <f t="shared" si="15"/>
        <v>0</v>
      </c>
      <c r="BP22" s="2">
        <f t="shared" si="11"/>
        <v>0</v>
      </c>
      <c r="BQ22" s="2">
        <f t="shared" si="12"/>
        <v>0</v>
      </c>
      <c r="BR22" s="2">
        <f t="shared" si="12"/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2">
        <f t="shared" si="12"/>
        <v>0</v>
      </c>
      <c r="BW22" s="2">
        <f t="shared" si="12"/>
        <v>0</v>
      </c>
      <c r="BX22" s="2">
        <f t="shared" si="12"/>
        <v>0</v>
      </c>
      <c r="BY22" s="2">
        <f t="shared" si="9"/>
        <v>1</v>
      </c>
      <c r="CB22" s="21"/>
      <c r="CC22" s="2">
        <v>37</v>
      </c>
      <c r="CD22" s="3">
        <f t="shared" si="10"/>
        <v>1.5625E-2</v>
      </c>
      <c r="CE22" s="3">
        <f t="shared" si="10"/>
        <v>1.5625E-2</v>
      </c>
      <c r="CF22" s="3">
        <f t="shared" si="10"/>
        <v>1.5625E-2</v>
      </c>
      <c r="CG22" s="3">
        <f t="shared" si="10"/>
        <v>3.125E-2</v>
      </c>
      <c r="CH22" s="3">
        <f t="shared" si="10"/>
        <v>3.125E-2</v>
      </c>
      <c r="CI22" s="3">
        <f t="shared" si="10"/>
        <v>3.125E-2</v>
      </c>
      <c r="CJ22" s="3">
        <f t="shared" si="10"/>
        <v>1.5625E-2</v>
      </c>
      <c r="CK22" s="3">
        <f t="shared" si="10"/>
        <v>4.6875E-2</v>
      </c>
      <c r="CL22" s="3">
        <f t="shared" si="10"/>
        <v>1.5625E-2</v>
      </c>
      <c r="CM22" s="3">
        <f t="shared" si="10"/>
        <v>3.125E-2</v>
      </c>
      <c r="CN22" s="3">
        <f t="shared" si="10"/>
        <v>3.125E-2</v>
      </c>
      <c r="CO22" s="3">
        <f t="shared" si="10"/>
        <v>1.5625E-2</v>
      </c>
      <c r="CP22" s="3">
        <f t="shared" si="10"/>
        <v>3.125E-2</v>
      </c>
      <c r="CQ22" s="3">
        <f t="shared" si="10"/>
        <v>3.125E-2</v>
      </c>
      <c r="CR22" s="3">
        <f t="shared" si="10"/>
        <v>1.5625E-2</v>
      </c>
      <c r="CS22" s="3">
        <f t="shared" si="10"/>
        <v>4.6875E-2</v>
      </c>
      <c r="CT22" s="3">
        <f t="shared" si="13"/>
        <v>3.125E-2</v>
      </c>
      <c r="CU22" s="3">
        <f t="shared" si="13"/>
        <v>1.5625E-2</v>
      </c>
      <c r="CV22" s="3">
        <f t="shared" si="13"/>
        <v>3.125E-2</v>
      </c>
      <c r="CW22" s="3">
        <f t="shared" si="13"/>
        <v>1.5625E-2</v>
      </c>
      <c r="CX22" s="3">
        <f t="shared" si="13"/>
        <v>1.5625E-2</v>
      </c>
      <c r="CY22" s="3">
        <f t="shared" si="13"/>
        <v>3.125E-2</v>
      </c>
      <c r="CZ22" s="3">
        <f t="shared" si="13"/>
        <v>1.5625E-2</v>
      </c>
      <c r="DA22" s="3">
        <f t="shared" si="13"/>
        <v>1.5625E-2</v>
      </c>
      <c r="DB22" s="3">
        <f t="shared" si="13"/>
        <v>4.6875E-2</v>
      </c>
      <c r="DC22" s="3">
        <f t="shared" si="13"/>
        <v>1.5625E-2</v>
      </c>
      <c r="DD22" s="3">
        <f t="shared" si="13"/>
        <v>4.6875E-2</v>
      </c>
      <c r="DE22" s="3">
        <f t="shared" si="13"/>
        <v>3.125E-2</v>
      </c>
      <c r="DF22" s="3">
        <f t="shared" si="13"/>
        <v>1.5625E-2</v>
      </c>
      <c r="DG22" s="3">
        <f t="shared" si="13"/>
        <v>1.5625E-2</v>
      </c>
      <c r="DH22" s="3">
        <f t="shared" si="13"/>
        <v>4.6875E-2</v>
      </c>
      <c r="DI22" s="3">
        <f t="shared" si="13"/>
        <v>3.125E-2</v>
      </c>
      <c r="DJ22" s="3">
        <f t="shared" si="14"/>
        <v>1.5625E-2</v>
      </c>
      <c r="DK22" s="3">
        <f t="shared" si="14"/>
        <v>1.5625E-2</v>
      </c>
      <c r="DL22" s="3">
        <f t="shared" si="14"/>
        <v>1.5625E-2</v>
      </c>
      <c r="DM22" s="3">
        <f t="shared" si="14"/>
        <v>3.125E-2</v>
      </c>
      <c r="DN22" s="3">
        <f t="shared" si="14"/>
        <v>1.5625E-2</v>
      </c>
      <c r="DO22" s="3">
        <f t="shared" si="14"/>
        <v>1.5625E-2</v>
      </c>
      <c r="DP22" s="3">
        <f t="shared" si="14"/>
        <v>1.5625E-2</v>
      </c>
      <c r="DQ22" s="3">
        <f t="shared" si="14"/>
        <v>1.5625E-2</v>
      </c>
      <c r="DR22" s="3">
        <f t="shared" si="14"/>
        <v>1.5625E-2</v>
      </c>
      <c r="DS22" s="2">
        <v>1</v>
      </c>
    </row>
    <row r="23" spans="1:123" x14ac:dyDescent="0.3">
      <c r="A23" s="2">
        <v>50</v>
      </c>
      <c r="B23" s="4">
        <v>11</v>
      </c>
      <c r="C23" s="6">
        <v>69</v>
      </c>
      <c r="D23" s="21"/>
      <c r="E23" s="2">
        <v>76</v>
      </c>
      <c r="F23" s="2">
        <f t="shared" si="6"/>
        <v>0</v>
      </c>
      <c r="G23" s="2">
        <f t="shared" si="6"/>
        <v>0</v>
      </c>
      <c r="H23" s="2">
        <f t="shared" si="6"/>
        <v>0</v>
      </c>
      <c r="I23" s="2">
        <f t="shared" si="6"/>
        <v>0</v>
      </c>
      <c r="J23" s="2">
        <f t="shared" si="6"/>
        <v>0</v>
      </c>
      <c r="K23" s="2">
        <f t="shared" si="6"/>
        <v>0</v>
      </c>
      <c r="L23" s="2">
        <f t="shared" si="6"/>
        <v>0</v>
      </c>
      <c r="M23" s="2">
        <f t="shared" si="6"/>
        <v>0</v>
      </c>
      <c r="N23" s="2">
        <f t="shared" si="6"/>
        <v>0</v>
      </c>
      <c r="O23" s="2">
        <f t="shared" si="6"/>
        <v>0</v>
      </c>
      <c r="P23" s="2">
        <f t="shared" si="1"/>
        <v>0</v>
      </c>
      <c r="R23" s="21"/>
      <c r="S23" s="2">
        <v>45</v>
      </c>
      <c r="T23" s="2">
        <f t="shared" si="7"/>
        <v>0.34399999999999997</v>
      </c>
      <c r="U23" s="2">
        <f t="shared" si="7"/>
        <v>0.188</v>
      </c>
      <c r="V23" s="2">
        <f t="shared" si="7"/>
        <v>0.156</v>
      </c>
      <c r="W23" s="2">
        <f t="shared" si="7"/>
        <v>0.25</v>
      </c>
      <c r="X23" s="2">
        <f t="shared" si="7"/>
        <v>0.156</v>
      </c>
      <c r="Y23" s="2">
        <f t="shared" si="7"/>
        <v>0.156</v>
      </c>
      <c r="Z23" s="2">
        <f t="shared" si="7"/>
        <v>0.125</v>
      </c>
      <c r="AA23" s="2">
        <f t="shared" si="7"/>
        <v>0.156</v>
      </c>
      <c r="AB23" s="2">
        <f t="shared" si="7"/>
        <v>0.219</v>
      </c>
      <c r="AC23" s="2">
        <f t="shared" si="7"/>
        <v>0.25</v>
      </c>
      <c r="AD23" s="2">
        <v>2</v>
      </c>
      <c r="AH23" s="21"/>
      <c r="AI23" s="2">
        <v>45</v>
      </c>
      <c r="AJ23" s="2">
        <f t="shared" si="8"/>
        <v>0</v>
      </c>
      <c r="AK23" s="2">
        <f t="shared" si="8"/>
        <v>0</v>
      </c>
      <c r="AL23" s="2">
        <f t="shared" si="8"/>
        <v>0</v>
      </c>
      <c r="AM23" s="2">
        <f t="shared" si="8"/>
        <v>0</v>
      </c>
      <c r="AN23" s="2">
        <f t="shared" si="8"/>
        <v>0</v>
      </c>
      <c r="AO23" s="2">
        <f t="shared" si="8"/>
        <v>0</v>
      </c>
      <c r="AP23" s="2">
        <f t="shared" si="8"/>
        <v>0</v>
      </c>
      <c r="AQ23" s="2">
        <f t="shared" si="8"/>
        <v>0</v>
      </c>
      <c r="AR23" s="2">
        <f t="shared" si="8"/>
        <v>0</v>
      </c>
      <c r="AS23" s="2">
        <f t="shared" si="8"/>
        <v>0</v>
      </c>
      <c r="AT23" s="2">
        <f t="shared" si="8"/>
        <v>0</v>
      </c>
      <c r="AU23" s="2">
        <f t="shared" si="8"/>
        <v>0</v>
      </c>
      <c r="AV23" s="2">
        <f t="shared" si="8"/>
        <v>0</v>
      </c>
      <c r="AW23" s="2">
        <f t="shared" si="8"/>
        <v>0</v>
      </c>
      <c r="AX23" s="2">
        <f t="shared" si="8"/>
        <v>0</v>
      </c>
      <c r="AY23" s="2">
        <f t="shared" si="8"/>
        <v>0</v>
      </c>
      <c r="AZ23" s="2">
        <f t="shared" si="15"/>
        <v>0</v>
      </c>
      <c r="BA23" s="2">
        <f t="shared" si="15"/>
        <v>0</v>
      </c>
      <c r="BB23" s="2">
        <f t="shared" si="15"/>
        <v>0</v>
      </c>
      <c r="BC23" s="2">
        <f t="shared" si="15"/>
        <v>0</v>
      </c>
      <c r="BD23" s="2">
        <f t="shared" si="15"/>
        <v>0</v>
      </c>
      <c r="BE23" s="2">
        <f t="shared" si="15"/>
        <v>0</v>
      </c>
      <c r="BF23" s="2">
        <f t="shared" si="15"/>
        <v>0</v>
      </c>
      <c r="BG23" s="2">
        <f t="shared" si="15"/>
        <v>0</v>
      </c>
      <c r="BH23" s="2">
        <f t="shared" si="15"/>
        <v>0</v>
      </c>
      <c r="BI23" s="2">
        <f t="shared" si="15"/>
        <v>0</v>
      </c>
      <c r="BJ23" s="2">
        <f t="shared" si="15"/>
        <v>0</v>
      </c>
      <c r="BK23" s="2">
        <f t="shared" si="15"/>
        <v>1</v>
      </c>
      <c r="BL23" s="2">
        <f t="shared" si="15"/>
        <v>0</v>
      </c>
      <c r="BM23" s="2">
        <f t="shared" si="15"/>
        <v>0</v>
      </c>
      <c r="BN23" s="2">
        <f t="shared" si="15"/>
        <v>0</v>
      </c>
      <c r="BO23" s="2">
        <f t="shared" si="15"/>
        <v>0</v>
      </c>
      <c r="BP23" s="2">
        <f t="shared" si="11"/>
        <v>0</v>
      </c>
      <c r="BQ23" s="2">
        <f t="shared" si="12"/>
        <v>0</v>
      </c>
      <c r="BR23" s="2">
        <f t="shared" si="12"/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2">
        <f t="shared" si="12"/>
        <v>0</v>
      </c>
      <c r="BW23" s="2">
        <f t="shared" si="12"/>
        <v>0</v>
      </c>
      <c r="BX23" s="2">
        <f t="shared" si="12"/>
        <v>0</v>
      </c>
      <c r="BY23" s="2">
        <f t="shared" si="9"/>
        <v>1</v>
      </c>
      <c r="CB23" s="21"/>
      <c r="CC23" s="2">
        <v>45</v>
      </c>
      <c r="CD23" s="3">
        <f t="shared" si="10"/>
        <v>3.125E-2</v>
      </c>
      <c r="CE23" s="3">
        <f t="shared" si="10"/>
        <v>3.125E-2</v>
      </c>
      <c r="CF23" s="3">
        <f t="shared" si="10"/>
        <v>3.125E-2</v>
      </c>
      <c r="CG23" s="3">
        <f t="shared" si="10"/>
        <v>6.25E-2</v>
      </c>
      <c r="CH23" s="3">
        <f t="shared" si="10"/>
        <v>6.25E-2</v>
      </c>
      <c r="CI23" s="3">
        <f t="shared" si="10"/>
        <v>6.25E-2</v>
      </c>
      <c r="CJ23" s="3">
        <f t="shared" si="10"/>
        <v>3.125E-2</v>
      </c>
      <c r="CK23" s="3">
        <f t="shared" si="10"/>
        <v>9.375E-2</v>
      </c>
      <c r="CL23" s="3">
        <f t="shared" si="10"/>
        <v>3.125E-2</v>
      </c>
      <c r="CM23" s="3">
        <f t="shared" si="10"/>
        <v>6.25E-2</v>
      </c>
      <c r="CN23" s="3">
        <f t="shared" si="10"/>
        <v>6.25E-2</v>
      </c>
      <c r="CO23" s="3">
        <f t="shared" si="10"/>
        <v>3.125E-2</v>
      </c>
      <c r="CP23" s="3">
        <f t="shared" si="10"/>
        <v>6.25E-2</v>
      </c>
      <c r="CQ23" s="3">
        <f t="shared" si="10"/>
        <v>6.25E-2</v>
      </c>
      <c r="CR23" s="3">
        <f t="shared" si="10"/>
        <v>3.125E-2</v>
      </c>
      <c r="CS23" s="3">
        <f t="shared" si="10"/>
        <v>9.375E-2</v>
      </c>
      <c r="CT23" s="3">
        <f t="shared" si="13"/>
        <v>6.25E-2</v>
      </c>
      <c r="CU23" s="3">
        <f t="shared" si="13"/>
        <v>3.125E-2</v>
      </c>
      <c r="CV23" s="3">
        <f t="shared" si="13"/>
        <v>6.25E-2</v>
      </c>
      <c r="CW23" s="3">
        <f t="shared" si="13"/>
        <v>3.125E-2</v>
      </c>
      <c r="CX23" s="3">
        <f t="shared" si="13"/>
        <v>3.125E-2</v>
      </c>
      <c r="CY23" s="3">
        <f t="shared" si="13"/>
        <v>6.25E-2</v>
      </c>
      <c r="CZ23" s="3">
        <f t="shared" si="13"/>
        <v>3.125E-2</v>
      </c>
      <c r="DA23" s="3">
        <f t="shared" si="13"/>
        <v>3.125E-2</v>
      </c>
      <c r="DB23" s="3">
        <f t="shared" si="13"/>
        <v>9.375E-2</v>
      </c>
      <c r="DC23" s="3">
        <f t="shared" si="13"/>
        <v>3.125E-2</v>
      </c>
      <c r="DD23" s="3">
        <f t="shared" si="13"/>
        <v>9.375E-2</v>
      </c>
      <c r="DE23" s="3">
        <f t="shared" si="13"/>
        <v>6.25E-2</v>
      </c>
      <c r="DF23" s="3">
        <f t="shared" si="13"/>
        <v>3.125E-2</v>
      </c>
      <c r="DG23" s="3">
        <f t="shared" si="13"/>
        <v>3.125E-2</v>
      </c>
      <c r="DH23" s="3">
        <f t="shared" si="13"/>
        <v>9.375E-2</v>
      </c>
      <c r="DI23" s="3">
        <f t="shared" si="13"/>
        <v>6.25E-2</v>
      </c>
      <c r="DJ23" s="3">
        <f t="shared" si="14"/>
        <v>3.125E-2</v>
      </c>
      <c r="DK23" s="3">
        <f t="shared" si="14"/>
        <v>3.125E-2</v>
      </c>
      <c r="DL23" s="3">
        <f t="shared" si="14"/>
        <v>3.125E-2</v>
      </c>
      <c r="DM23" s="3">
        <f t="shared" si="14"/>
        <v>6.25E-2</v>
      </c>
      <c r="DN23" s="3">
        <f t="shared" si="14"/>
        <v>3.125E-2</v>
      </c>
      <c r="DO23" s="3">
        <f t="shared" si="14"/>
        <v>3.125E-2</v>
      </c>
      <c r="DP23" s="3">
        <f t="shared" si="14"/>
        <v>3.125E-2</v>
      </c>
      <c r="DQ23" s="3">
        <f t="shared" si="14"/>
        <v>3.125E-2</v>
      </c>
      <c r="DR23" s="3">
        <f t="shared" si="14"/>
        <v>3.125E-2</v>
      </c>
      <c r="DS23" s="2">
        <v>2</v>
      </c>
    </row>
    <row r="24" spans="1:123" x14ac:dyDescent="0.3">
      <c r="A24" s="2">
        <v>38</v>
      </c>
      <c r="B24" s="4">
        <v>13</v>
      </c>
      <c r="C24" s="6">
        <v>48</v>
      </c>
      <c r="D24" s="21"/>
      <c r="E24" s="2">
        <v>67</v>
      </c>
      <c r="F24" s="2">
        <f t="shared" si="6"/>
        <v>0</v>
      </c>
      <c r="G24" s="2">
        <f t="shared" si="6"/>
        <v>0</v>
      </c>
      <c r="H24" s="2">
        <f t="shared" si="6"/>
        <v>0</v>
      </c>
      <c r="I24" s="2">
        <f t="shared" si="6"/>
        <v>0</v>
      </c>
      <c r="J24" s="2">
        <f t="shared" si="6"/>
        <v>0</v>
      </c>
      <c r="K24" s="2">
        <f t="shared" si="6"/>
        <v>0</v>
      </c>
      <c r="L24" s="2">
        <f t="shared" si="6"/>
        <v>0</v>
      </c>
      <c r="M24" s="2">
        <f t="shared" si="6"/>
        <v>0</v>
      </c>
      <c r="N24" s="2">
        <f t="shared" si="6"/>
        <v>0</v>
      </c>
      <c r="O24" s="2">
        <f t="shared" si="6"/>
        <v>0</v>
      </c>
      <c r="P24" s="2">
        <f t="shared" si="1"/>
        <v>0</v>
      </c>
      <c r="R24" s="21"/>
      <c r="S24" s="2">
        <v>52</v>
      </c>
      <c r="T24" s="2">
        <f t="shared" si="7"/>
        <v>0.17199999999999999</v>
      </c>
      <c r="U24" s="2">
        <f t="shared" si="7"/>
        <v>9.4E-2</v>
      </c>
      <c r="V24" s="2">
        <f t="shared" si="7"/>
        <v>7.8E-2</v>
      </c>
      <c r="W24" s="2">
        <f t="shared" si="7"/>
        <v>0.125</v>
      </c>
      <c r="X24" s="2">
        <f t="shared" si="7"/>
        <v>7.8E-2</v>
      </c>
      <c r="Y24" s="2">
        <f t="shared" si="7"/>
        <v>7.8E-2</v>
      </c>
      <c r="Z24" s="2">
        <f t="shared" si="7"/>
        <v>6.3E-2</v>
      </c>
      <c r="AA24" s="2">
        <f t="shared" si="7"/>
        <v>7.8E-2</v>
      </c>
      <c r="AB24" s="2">
        <f t="shared" si="7"/>
        <v>0.109</v>
      </c>
      <c r="AC24" s="2">
        <f t="shared" si="7"/>
        <v>0.125</v>
      </c>
      <c r="AD24" s="2">
        <v>1</v>
      </c>
      <c r="AH24" s="21"/>
      <c r="AI24" s="2">
        <v>52</v>
      </c>
      <c r="AJ24" s="2">
        <f t="shared" si="8"/>
        <v>0</v>
      </c>
      <c r="AK24" s="2">
        <f t="shared" si="8"/>
        <v>0</v>
      </c>
      <c r="AL24" s="2">
        <f t="shared" si="8"/>
        <v>0</v>
      </c>
      <c r="AM24" s="2">
        <f t="shared" si="8"/>
        <v>0</v>
      </c>
      <c r="AN24" s="2">
        <f t="shared" si="8"/>
        <v>0</v>
      </c>
      <c r="AO24" s="2">
        <f t="shared" si="8"/>
        <v>0</v>
      </c>
      <c r="AP24" s="2">
        <f t="shared" si="8"/>
        <v>0</v>
      </c>
      <c r="AQ24" s="2">
        <f t="shared" si="8"/>
        <v>0</v>
      </c>
      <c r="AR24" s="2">
        <f t="shared" si="8"/>
        <v>0</v>
      </c>
      <c r="AS24" s="2">
        <f t="shared" si="8"/>
        <v>0</v>
      </c>
      <c r="AT24" s="2">
        <f t="shared" si="8"/>
        <v>0</v>
      </c>
      <c r="AU24" s="2">
        <f t="shared" si="8"/>
        <v>0</v>
      </c>
      <c r="AV24" s="2">
        <f t="shared" si="8"/>
        <v>0</v>
      </c>
      <c r="AW24" s="2">
        <f t="shared" si="8"/>
        <v>0</v>
      </c>
      <c r="AX24" s="2">
        <f t="shared" si="8"/>
        <v>0</v>
      </c>
      <c r="AY24" s="2">
        <f t="shared" si="8"/>
        <v>0</v>
      </c>
      <c r="AZ24" s="2">
        <f t="shared" si="15"/>
        <v>0</v>
      </c>
      <c r="BA24" s="2">
        <f t="shared" si="15"/>
        <v>0</v>
      </c>
      <c r="BB24" s="2">
        <f t="shared" si="15"/>
        <v>0</v>
      </c>
      <c r="BC24" s="2">
        <f t="shared" si="15"/>
        <v>0</v>
      </c>
      <c r="BD24" s="2">
        <f t="shared" si="15"/>
        <v>0</v>
      </c>
      <c r="BE24" s="2">
        <f t="shared" si="15"/>
        <v>0</v>
      </c>
      <c r="BF24" s="2">
        <f t="shared" si="15"/>
        <v>0</v>
      </c>
      <c r="BG24" s="2">
        <f t="shared" si="15"/>
        <v>0</v>
      </c>
      <c r="BH24" s="2">
        <f t="shared" si="15"/>
        <v>0</v>
      </c>
      <c r="BI24" s="2">
        <f t="shared" si="15"/>
        <v>0</v>
      </c>
      <c r="BJ24" s="2">
        <f t="shared" si="15"/>
        <v>0</v>
      </c>
      <c r="BK24" s="2">
        <f t="shared" si="15"/>
        <v>0</v>
      </c>
      <c r="BL24" s="2">
        <f t="shared" si="15"/>
        <v>0</v>
      </c>
      <c r="BM24" s="2">
        <f t="shared" si="15"/>
        <v>0</v>
      </c>
      <c r="BN24" s="2">
        <f t="shared" si="15"/>
        <v>0</v>
      </c>
      <c r="BO24" s="2">
        <f t="shared" si="15"/>
        <v>0</v>
      </c>
      <c r="BP24" s="2">
        <f t="shared" si="11"/>
        <v>0</v>
      </c>
      <c r="BQ24" s="2">
        <f t="shared" si="12"/>
        <v>0</v>
      </c>
      <c r="BR24" s="2">
        <f t="shared" si="12"/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2">
        <f t="shared" si="12"/>
        <v>0</v>
      </c>
      <c r="BW24" s="2">
        <f t="shared" si="12"/>
        <v>0</v>
      </c>
      <c r="BX24" s="2">
        <f t="shared" si="12"/>
        <v>0</v>
      </c>
      <c r="BY24" s="2">
        <f t="shared" si="9"/>
        <v>0</v>
      </c>
      <c r="CB24" s="21"/>
      <c r="CC24" s="2">
        <v>52</v>
      </c>
      <c r="CD24" s="3">
        <f t="shared" si="10"/>
        <v>1.5625E-2</v>
      </c>
      <c r="CE24" s="3">
        <f t="shared" si="10"/>
        <v>1.5625E-2</v>
      </c>
      <c r="CF24" s="3">
        <f t="shared" si="10"/>
        <v>1.5625E-2</v>
      </c>
      <c r="CG24" s="3">
        <f t="shared" si="10"/>
        <v>3.125E-2</v>
      </c>
      <c r="CH24" s="3">
        <f t="shared" si="10"/>
        <v>3.125E-2</v>
      </c>
      <c r="CI24" s="3">
        <f t="shared" si="10"/>
        <v>3.125E-2</v>
      </c>
      <c r="CJ24" s="3">
        <f t="shared" si="10"/>
        <v>1.5625E-2</v>
      </c>
      <c r="CK24" s="3">
        <f t="shared" si="10"/>
        <v>4.6875E-2</v>
      </c>
      <c r="CL24" s="3">
        <f t="shared" si="10"/>
        <v>1.5625E-2</v>
      </c>
      <c r="CM24" s="3">
        <f t="shared" si="10"/>
        <v>3.125E-2</v>
      </c>
      <c r="CN24" s="3">
        <f t="shared" si="10"/>
        <v>3.125E-2</v>
      </c>
      <c r="CO24" s="3">
        <f t="shared" si="10"/>
        <v>1.5625E-2</v>
      </c>
      <c r="CP24" s="3">
        <f t="shared" si="10"/>
        <v>3.125E-2</v>
      </c>
      <c r="CQ24" s="3">
        <f t="shared" si="10"/>
        <v>3.125E-2</v>
      </c>
      <c r="CR24" s="3">
        <f t="shared" si="10"/>
        <v>1.5625E-2</v>
      </c>
      <c r="CS24" s="3">
        <f t="shared" si="10"/>
        <v>4.6875E-2</v>
      </c>
      <c r="CT24" s="3">
        <f t="shared" si="13"/>
        <v>3.125E-2</v>
      </c>
      <c r="CU24" s="3">
        <f t="shared" si="13"/>
        <v>1.5625E-2</v>
      </c>
      <c r="CV24" s="3">
        <f t="shared" si="13"/>
        <v>3.125E-2</v>
      </c>
      <c r="CW24" s="3">
        <f t="shared" si="13"/>
        <v>1.5625E-2</v>
      </c>
      <c r="CX24" s="3">
        <f t="shared" si="13"/>
        <v>1.5625E-2</v>
      </c>
      <c r="CY24" s="3">
        <f t="shared" si="13"/>
        <v>3.125E-2</v>
      </c>
      <c r="CZ24" s="3">
        <f t="shared" si="13"/>
        <v>1.5625E-2</v>
      </c>
      <c r="DA24" s="3">
        <f t="shared" si="13"/>
        <v>1.5625E-2</v>
      </c>
      <c r="DB24" s="3">
        <f t="shared" si="13"/>
        <v>4.6875E-2</v>
      </c>
      <c r="DC24" s="3">
        <f t="shared" si="13"/>
        <v>1.5625E-2</v>
      </c>
      <c r="DD24" s="3">
        <f t="shared" si="13"/>
        <v>4.6875E-2</v>
      </c>
      <c r="DE24" s="3">
        <f t="shared" si="13"/>
        <v>3.125E-2</v>
      </c>
      <c r="DF24" s="3">
        <f t="shared" si="13"/>
        <v>1.5625E-2</v>
      </c>
      <c r="DG24" s="3">
        <f t="shared" si="13"/>
        <v>1.5625E-2</v>
      </c>
      <c r="DH24" s="3">
        <f t="shared" si="13"/>
        <v>4.6875E-2</v>
      </c>
      <c r="DI24" s="3">
        <f t="shared" si="13"/>
        <v>3.125E-2</v>
      </c>
      <c r="DJ24" s="3">
        <f t="shared" si="14"/>
        <v>1.5625E-2</v>
      </c>
      <c r="DK24" s="3">
        <f t="shared" si="14"/>
        <v>1.5625E-2</v>
      </c>
      <c r="DL24" s="3">
        <f t="shared" si="14"/>
        <v>1.5625E-2</v>
      </c>
      <c r="DM24" s="3">
        <f t="shared" si="14"/>
        <v>3.125E-2</v>
      </c>
      <c r="DN24" s="3">
        <f t="shared" si="14"/>
        <v>1.5625E-2</v>
      </c>
      <c r="DO24" s="3">
        <f t="shared" si="14"/>
        <v>1.5625E-2</v>
      </c>
      <c r="DP24" s="3">
        <f t="shared" si="14"/>
        <v>1.5625E-2</v>
      </c>
      <c r="DQ24" s="3">
        <f t="shared" si="14"/>
        <v>1.5625E-2</v>
      </c>
      <c r="DR24" s="3">
        <f t="shared" si="14"/>
        <v>1.5625E-2</v>
      </c>
      <c r="DS24" s="2">
        <v>1</v>
      </c>
    </row>
    <row r="25" spans="1:123" x14ac:dyDescent="0.3">
      <c r="A25" s="2">
        <v>23</v>
      </c>
      <c r="B25" s="4">
        <v>2</v>
      </c>
      <c r="C25" s="6">
        <v>65</v>
      </c>
      <c r="D25" s="21"/>
      <c r="E25" s="2">
        <v>66</v>
      </c>
      <c r="F25" s="2">
        <f t="shared" si="6"/>
        <v>0</v>
      </c>
      <c r="G25" s="2">
        <f t="shared" si="6"/>
        <v>0</v>
      </c>
      <c r="H25" s="2">
        <f t="shared" si="6"/>
        <v>0</v>
      </c>
      <c r="I25" s="2">
        <f t="shared" si="6"/>
        <v>0</v>
      </c>
      <c r="J25" s="2">
        <f t="shared" si="6"/>
        <v>0</v>
      </c>
      <c r="K25" s="2">
        <f t="shared" si="6"/>
        <v>0</v>
      </c>
      <c r="L25" s="2">
        <f t="shared" si="6"/>
        <v>0</v>
      </c>
      <c r="M25" s="2">
        <f t="shared" si="6"/>
        <v>0</v>
      </c>
      <c r="N25" s="2">
        <f t="shared" si="6"/>
        <v>1</v>
      </c>
      <c r="O25" s="2">
        <f t="shared" si="6"/>
        <v>0</v>
      </c>
      <c r="P25" s="2">
        <f t="shared" si="1"/>
        <v>1</v>
      </c>
      <c r="R25" s="21"/>
      <c r="S25" s="2">
        <v>66</v>
      </c>
      <c r="T25" s="2">
        <f t="shared" si="7"/>
        <v>0.17199999999999999</v>
      </c>
      <c r="U25" s="2">
        <f t="shared" si="7"/>
        <v>9.4E-2</v>
      </c>
      <c r="V25" s="2">
        <f t="shared" si="7"/>
        <v>7.8E-2</v>
      </c>
      <c r="W25" s="2">
        <f t="shared" si="7"/>
        <v>0.125</v>
      </c>
      <c r="X25" s="2">
        <f t="shared" si="7"/>
        <v>7.8E-2</v>
      </c>
      <c r="Y25" s="2">
        <f t="shared" si="7"/>
        <v>7.8E-2</v>
      </c>
      <c r="Z25" s="2">
        <f t="shared" si="7"/>
        <v>6.3E-2</v>
      </c>
      <c r="AA25" s="2">
        <f t="shared" si="7"/>
        <v>7.8E-2</v>
      </c>
      <c r="AB25" s="2">
        <f t="shared" si="7"/>
        <v>0.109</v>
      </c>
      <c r="AC25" s="2">
        <f t="shared" si="7"/>
        <v>0.125</v>
      </c>
      <c r="AD25" s="2">
        <v>1</v>
      </c>
      <c r="AH25" s="21"/>
      <c r="AI25" s="2">
        <v>66</v>
      </c>
      <c r="AJ25" s="2">
        <f t="shared" si="8"/>
        <v>0</v>
      </c>
      <c r="AK25" s="2">
        <f t="shared" si="8"/>
        <v>0</v>
      </c>
      <c r="AL25" s="2">
        <f t="shared" si="8"/>
        <v>0</v>
      </c>
      <c r="AM25" s="2">
        <f t="shared" si="8"/>
        <v>0</v>
      </c>
      <c r="AN25" s="2">
        <f t="shared" si="8"/>
        <v>0</v>
      </c>
      <c r="AO25" s="2">
        <f t="shared" si="8"/>
        <v>0</v>
      </c>
      <c r="AP25" s="2">
        <f t="shared" si="8"/>
        <v>0</v>
      </c>
      <c r="AQ25" s="2">
        <f t="shared" si="8"/>
        <v>0</v>
      </c>
      <c r="AR25" s="2">
        <f t="shared" si="8"/>
        <v>0</v>
      </c>
      <c r="AS25" s="2">
        <f t="shared" si="8"/>
        <v>0</v>
      </c>
      <c r="AT25" s="2">
        <f t="shared" si="8"/>
        <v>0</v>
      </c>
      <c r="AU25" s="2">
        <f t="shared" si="8"/>
        <v>0</v>
      </c>
      <c r="AV25" s="2">
        <f t="shared" si="8"/>
        <v>0</v>
      </c>
      <c r="AW25" s="2">
        <f t="shared" si="8"/>
        <v>1</v>
      </c>
      <c r="AX25" s="2">
        <f t="shared" si="8"/>
        <v>0</v>
      </c>
      <c r="AY25" s="2">
        <f t="shared" si="8"/>
        <v>0</v>
      </c>
      <c r="AZ25" s="2">
        <f t="shared" si="15"/>
        <v>0</v>
      </c>
      <c r="BA25" s="2">
        <f t="shared" si="15"/>
        <v>0</v>
      </c>
      <c r="BB25" s="2">
        <f t="shared" si="15"/>
        <v>0</v>
      </c>
      <c r="BC25" s="2">
        <f t="shared" si="15"/>
        <v>0</v>
      </c>
      <c r="BD25" s="2">
        <f t="shared" si="15"/>
        <v>0</v>
      </c>
      <c r="BE25" s="2">
        <f t="shared" si="15"/>
        <v>0</v>
      </c>
      <c r="BF25" s="2">
        <f t="shared" si="15"/>
        <v>0</v>
      </c>
      <c r="BG25" s="2">
        <f t="shared" si="15"/>
        <v>1</v>
      </c>
      <c r="BH25" s="2">
        <f t="shared" si="15"/>
        <v>0</v>
      </c>
      <c r="BI25" s="2">
        <f t="shared" si="15"/>
        <v>0</v>
      </c>
      <c r="BJ25" s="2">
        <f t="shared" si="15"/>
        <v>1</v>
      </c>
      <c r="BK25" s="2">
        <f t="shared" si="15"/>
        <v>0</v>
      </c>
      <c r="BL25" s="2">
        <f t="shared" si="15"/>
        <v>0</v>
      </c>
      <c r="BM25" s="2">
        <f t="shared" si="15"/>
        <v>0</v>
      </c>
      <c r="BN25" s="2">
        <f t="shared" si="15"/>
        <v>0</v>
      </c>
      <c r="BO25" s="2">
        <f t="shared" si="15"/>
        <v>1</v>
      </c>
      <c r="BP25" s="2">
        <f t="shared" si="11"/>
        <v>0</v>
      </c>
      <c r="BQ25" s="2">
        <f t="shared" si="12"/>
        <v>0</v>
      </c>
      <c r="BR25" s="2">
        <f t="shared" si="12"/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2">
        <f t="shared" si="12"/>
        <v>0</v>
      </c>
      <c r="BW25" s="2">
        <f t="shared" si="12"/>
        <v>0</v>
      </c>
      <c r="BX25" s="2">
        <f t="shared" si="12"/>
        <v>0</v>
      </c>
      <c r="BY25" s="2">
        <f t="shared" si="9"/>
        <v>4</v>
      </c>
      <c r="CB25" s="21"/>
      <c r="CC25" s="2">
        <v>66</v>
      </c>
      <c r="CD25" s="3">
        <f t="shared" si="10"/>
        <v>1.5625E-2</v>
      </c>
      <c r="CE25" s="3">
        <f t="shared" si="10"/>
        <v>1.5625E-2</v>
      </c>
      <c r="CF25" s="3">
        <f t="shared" si="10"/>
        <v>1.5625E-2</v>
      </c>
      <c r="CG25" s="3">
        <f t="shared" si="10"/>
        <v>3.125E-2</v>
      </c>
      <c r="CH25" s="3">
        <f t="shared" si="10"/>
        <v>3.125E-2</v>
      </c>
      <c r="CI25" s="3">
        <f t="shared" si="10"/>
        <v>3.125E-2</v>
      </c>
      <c r="CJ25" s="3">
        <f t="shared" si="10"/>
        <v>1.5625E-2</v>
      </c>
      <c r="CK25" s="3">
        <f t="shared" si="10"/>
        <v>4.6875E-2</v>
      </c>
      <c r="CL25" s="3">
        <f t="shared" si="10"/>
        <v>1.5625E-2</v>
      </c>
      <c r="CM25" s="3">
        <f t="shared" si="10"/>
        <v>3.125E-2</v>
      </c>
      <c r="CN25" s="3">
        <f t="shared" si="10"/>
        <v>3.125E-2</v>
      </c>
      <c r="CO25" s="3">
        <f t="shared" si="10"/>
        <v>1.5625E-2</v>
      </c>
      <c r="CP25" s="3">
        <f t="shared" si="10"/>
        <v>3.125E-2</v>
      </c>
      <c r="CQ25" s="3">
        <f t="shared" si="10"/>
        <v>3.125E-2</v>
      </c>
      <c r="CR25" s="3">
        <f t="shared" si="10"/>
        <v>1.5625E-2</v>
      </c>
      <c r="CS25" s="3">
        <f t="shared" si="10"/>
        <v>4.6875E-2</v>
      </c>
      <c r="CT25" s="3">
        <f t="shared" si="13"/>
        <v>3.125E-2</v>
      </c>
      <c r="CU25" s="3">
        <f t="shared" si="13"/>
        <v>1.5625E-2</v>
      </c>
      <c r="CV25" s="3">
        <f t="shared" si="13"/>
        <v>3.125E-2</v>
      </c>
      <c r="CW25" s="3">
        <f t="shared" si="13"/>
        <v>1.5625E-2</v>
      </c>
      <c r="CX25" s="3">
        <f t="shared" si="13"/>
        <v>1.5625E-2</v>
      </c>
      <c r="CY25" s="3">
        <f t="shared" si="13"/>
        <v>3.125E-2</v>
      </c>
      <c r="CZ25" s="3">
        <f t="shared" si="13"/>
        <v>1.5625E-2</v>
      </c>
      <c r="DA25" s="3">
        <f t="shared" si="13"/>
        <v>1.5625E-2</v>
      </c>
      <c r="DB25" s="3">
        <f t="shared" si="13"/>
        <v>4.6875E-2</v>
      </c>
      <c r="DC25" s="3">
        <f t="shared" si="13"/>
        <v>1.5625E-2</v>
      </c>
      <c r="DD25" s="3">
        <f t="shared" si="13"/>
        <v>4.6875E-2</v>
      </c>
      <c r="DE25" s="3">
        <f t="shared" si="13"/>
        <v>3.125E-2</v>
      </c>
      <c r="DF25" s="3">
        <f t="shared" si="13"/>
        <v>1.5625E-2</v>
      </c>
      <c r="DG25" s="3">
        <f t="shared" si="13"/>
        <v>1.5625E-2</v>
      </c>
      <c r="DH25" s="3">
        <f t="shared" si="13"/>
        <v>4.6875E-2</v>
      </c>
      <c r="DI25" s="3">
        <f t="shared" ref="DI25:DR25" si="16">$DS25*DI$47/$DS$47</f>
        <v>3.125E-2</v>
      </c>
      <c r="DJ25" s="3">
        <f t="shared" si="16"/>
        <v>1.5625E-2</v>
      </c>
      <c r="DK25" s="3">
        <f t="shared" si="16"/>
        <v>1.5625E-2</v>
      </c>
      <c r="DL25" s="3">
        <f t="shared" si="16"/>
        <v>1.5625E-2</v>
      </c>
      <c r="DM25" s="3">
        <f t="shared" si="16"/>
        <v>3.125E-2</v>
      </c>
      <c r="DN25" s="3">
        <f t="shared" si="16"/>
        <v>1.5625E-2</v>
      </c>
      <c r="DO25" s="3">
        <f t="shared" si="16"/>
        <v>1.5625E-2</v>
      </c>
      <c r="DP25" s="3">
        <f t="shared" si="16"/>
        <v>1.5625E-2</v>
      </c>
      <c r="DQ25" s="3">
        <f t="shared" si="16"/>
        <v>1.5625E-2</v>
      </c>
      <c r="DR25" s="3">
        <f t="shared" si="16"/>
        <v>1.5625E-2</v>
      </c>
      <c r="DS25" s="2">
        <v>1</v>
      </c>
    </row>
    <row r="26" spans="1:123" x14ac:dyDescent="0.3">
      <c r="A26" s="2">
        <v>60</v>
      </c>
      <c r="B26" s="4">
        <v>5</v>
      </c>
      <c r="C26" s="6">
        <v>60</v>
      </c>
      <c r="D26" s="21"/>
      <c r="E26" s="2">
        <v>47</v>
      </c>
      <c r="F26" s="2">
        <f t="shared" si="6"/>
        <v>0</v>
      </c>
      <c r="G26" s="2">
        <f t="shared" si="6"/>
        <v>0</v>
      </c>
      <c r="H26" s="2">
        <f t="shared" si="6"/>
        <v>0</v>
      </c>
      <c r="I26" s="2">
        <f t="shared" si="6"/>
        <v>0</v>
      </c>
      <c r="J26" s="2">
        <f t="shared" si="6"/>
        <v>0</v>
      </c>
      <c r="K26" s="2">
        <f t="shared" si="6"/>
        <v>1</v>
      </c>
      <c r="L26" s="2">
        <f t="shared" si="6"/>
        <v>0</v>
      </c>
      <c r="M26" s="2">
        <f t="shared" si="6"/>
        <v>0</v>
      </c>
      <c r="N26" s="2">
        <f t="shared" si="6"/>
        <v>0</v>
      </c>
      <c r="O26" s="2">
        <f t="shared" si="6"/>
        <v>1</v>
      </c>
      <c r="P26" s="2">
        <f t="shared" si="1"/>
        <v>2</v>
      </c>
      <c r="R26" s="21"/>
      <c r="S26" s="2">
        <v>68</v>
      </c>
      <c r="T26" s="2">
        <f t="shared" si="7"/>
        <v>0.34399999999999997</v>
      </c>
      <c r="U26" s="2">
        <f t="shared" si="7"/>
        <v>0.188</v>
      </c>
      <c r="V26" s="2">
        <f t="shared" si="7"/>
        <v>0.156</v>
      </c>
      <c r="W26" s="2">
        <f t="shared" si="7"/>
        <v>0.25</v>
      </c>
      <c r="X26" s="2">
        <f t="shared" si="7"/>
        <v>0.156</v>
      </c>
      <c r="Y26" s="2">
        <f t="shared" si="7"/>
        <v>0.156</v>
      </c>
      <c r="Z26" s="2">
        <f t="shared" si="7"/>
        <v>0.125</v>
      </c>
      <c r="AA26" s="2">
        <f t="shared" si="7"/>
        <v>0.156</v>
      </c>
      <c r="AB26" s="2">
        <f t="shared" si="7"/>
        <v>0.219</v>
      </c>
      <c r="AC26" s="2">
        <f t="shared" si="7"/>
        <v>0.25</v>
      </c>
      <c r="AD26" s="2">
        <v>2</v>
      </c>
      <c r="AH26" s="21"/>
      <c r="AI26" s="2">
        <v>68</v>
      </c>
      <c r="AJ26" s="2">
        <f t="shared" si="8"/>
        <v>0</v>
      </c>
      <c r="AK26" s="2">
        <f t="shared" si="8"/>
        <v>0</v>
      </c>
      <c r="AL26" s="2">
        <f t="shared" si="8"/>
        <v>0</v>
      </c>
      <c r="AM26" s="2">
        <f t="shared" si="8"/>
        <v>0</v>
      </c>
      <c r="AN26" s="2">
        <f t="shared" si="8"/>
        <v>0</v>
      </c>
      <c r="AO26" s="2">
        <f t="shared" si="8"/>
        <v>0</v>
      </c>
      <c r="AP26" s="2">
        <f t="shared" si="8"/>
        <v>0</v>
      </c>
      <c r="AQ26" s="2">
        <f t="shared" si="8"/>
        <v>0</v>
      </c>
      <c r="AR26" s="2">
        <f t="shared" si="8"/>
        <v>0</v>
      </c>
      <c r="AS26" s="2">
        <f t="shared" ref="AS26:BH41" si="17">COUNTIFS($A$2:$A$65,$AI26,$C$2:$C$65,AS$3)</f>
        <v>0</v>
      </c>
      <c r="AT26" s="2">
        <f t="shared" si="17"/>
        <v>0</v>
      </c>
      <c r="AU26" s="2">
        <f t="shared" si="17"/>
        <v>0</v>
      </c>
      <c r="AV26" s="2">
        <f t="shared" si="17"/>
        <v>0</v>
      </c>
      <c r="AW26" s="2">
        <f t="shared" si="17"/>
        <v>0</v>
      </c>
      <c r="AX26" s="2">
        <f t="shared" si="17"/>
        <v>0</v>
      </c>
      <c r="AY26" s="2">
        <f t="shared" si="17"/>
        <v>0</v>
      </c>
      <c r="AZ26" s="2">
        <f t="shared" si="17"/>
        <v>0</v>
      </c>
      <c r="BA26" s="2">
        <f t="shared" si="17"/>
        <v>0</v>
      </c>
      <c r="BB26" s="2">
        <f t="shared" si="17"/>
        <v>0</v>
      </c>
      <c r="BC26" s="2">
        <f t="shared" si="17"/>
        <v>0</v>
      </c>
      <c r="BD26" s="2">
        <f t="shared" si="17"/>
        <v>0</v>
      </c>
      <c r="BE26" s="2">
        <f t="shared" si="17"/>
        <v>0</v>
      </c>
      <c r="BF26" s="2">
        <f t="shared" si="17"/>
        <v>0</v>
      </c>
      <c r="BG26" s="2">
        <f t="shared" si="17"/>
        <v>0</v>
      </c>
      <c r="BH26" s="2">
        <f t="shared" si="17"/>
        <v>0</v>
      </c>
      <c r="BI26" s="2">
        <f t="shared" si="15"/>
        <v>0</v>
      </c>
      <c r="BJ26" s="2">
        <f t="shared" si="15"/>
        <v>0</v>
      </c>
      <c r="BK26" s="2">
        <f t="shared" si="15"/>
        <v>0</v>
      </c>
      <c r="BL26" s="2">
        <f t="shared" si="15"/>
        <v>0</v>
      </c>
      <c r="BM26" s="2">
        <f t="shared" si="15"/>
        <v>0</v>
      </c>
      <c r="BN26" s="2">
        <f t="shared" si="15"/>
        <v>0</v>
      </c>
      <c r="BO26" s="2">
        <f t="shared" si="15"/>
        <v>0</v>
      </c>
      <c r="BP26" s="2">
        <f t="shared" si="11"/>
        <v>0</v>
      </c>
      <c r="BQ26" s="2">
        <f t="shared" si="12"/>
        <v>0</v>
      </c>
      <c r="BR26" s="2">
        <f t="shared" si="12"/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2">
        <f t="shared" si="12"/>
        <v>0</v>
      </c>
      <c r="BW26" s="2">
        <f t="shared" si="12"/>
        <v>0</v>
      </c>
      <c r="BX26" s="2">
        <f t="shared" si="12"/>
        <v>0</v>
      </c>
      <c r="BY26" s="2">
        <f t="shared" si="9"/>
        <v>0</v>
      </c>
      <c r="CB26" s="21"/>
      <c r="CC26" s="2">
        <v>68</v>
      </c>
      <c r="CD26" s="3">
        <f t="shared" si="10"/>
        <v>3.125E-2</v>
      </c>
      <c r="CE26" s="3">
        <f t="shared" si="10"/>
        <v>3.125E-2</v>
      </c>
      <c r="CF26" s="3">
        <f t="shared" si="10"/>
        <v>3.125E-2</v>
      </c>
      <c r="CG26" s="3">
        <f t="shared" si="10"/>
        <v>6.25E-2</v>
      </c>
      <c r="CH26" s="3">
        <f t="shared" si="10"/>
        <v>6.25E-2</v>
      </c>
      <c r="CI26" s="3">
        <f t="shared" si="10"/>
        <v>6.25E-2</v>
      </c>
      <c r="CJ26" s="3">
        <f t="shared" si="10"/>
        <v>3.125E-2</v>
      </c>
      <c r="CK26" s="3">
        <f t="shared" si="10"/>
        <v>9.375E-2</v>
      </c>
      <c r="CL26" s="3">
        <f t="shared" si="10"/>
        <v>3.125E-2</v>
      </c>
      <c r="CM26" s="3">
        <f t="shared" ref="CM26:DB41" si="18">$DS26*CM$47/$DS$47</f>
        <v>6.25E-2</v>
      </c>
      <c r="CN26" s="3">
        <f t="shared" si="18"/>
        <v>6.25E-2</v>
      </c>
      <c r="CO26" s="3">
        <f t="shared" si="18"/>
        <v>3.125E-2</v>
      </c>
      <c r="CP26" s="3">
        <f t="shared" si="18"/>
        <v>6.25E-2</v>
      </c>
      <c r="CQ26" s="3">
        <f t="shared" si="18"/>
        <v>6.25E-2</v>
      </c>
      <c r="CR26" s="3">
        <f t="shared" si="18"/>
        <v>3.125E-2</v>
      </c>
      <c r="CS26" s="3">
        <f t="shared" si="18"/>
        <v>9.375E-2</v>
      </c>
      <c r="CT26" s="3">
        <f t="shared" si="18"/>
        <v>6.25E-2</v>
      </c>
      <c r="CU26" s="3">
        <f t="shared" si="18"/>
        <v>3.125E-2</v>
      </c>
      <c r="CV26" s="3">
        <f t="shared" si="18"/>
        <v>6.25E-2</v>
      </c>
      <c r="CW26" s="3">
        <f t="shared" si="18"/>
        <v>3.125E-2</v>
      </c>
      <c r="CX26" s="3">
        <f t="shared" si="18"/>
        <v>3.125E-2</v>
      </c>
      <c r="CY26" s="3">
        <f t="shared" si="18"/>
        <v>6.25E-2</v>
      </c>
      <c r="CZ26" s="3">
        <f t="shared" si="18"/>
        <v>3.125E-2</v>
      </c>
      <c r="DA26" s="3">
        <f t="shared" si="18"/>
        <v>3.125E-2</v>
      </c>
      <c r="DB26" s="3">
        <f t="shared" si="18"/>
        <v>9.375E-2</v>
      </c>
      <c r="DC26" s="3">
        <f t="shared" ref="DC26:DR41" si="19">$DS26*DC$47/$DS$47</f>
        <v>3.125E-2</v>
      </c>
      <c r="DD26" s="3">
        <f t="shared" si="19"/>
        <v>9.375E-2</v>
      </c>
      <c r="DE26" s="3">
        <f t="shared" si="19"/>
        <v>6.25E-2</v>
      </c>
      <c r="DF26" s="3">
        <f t="shared" si="19"/>
        <v>3.125E-2</v>
      </c>
      <c r="DG26" s="3">
        <f t="shared" si="19"/>
        <v>3.125E-2</v>
      </c>
      <c r="DH26" s="3">
        <f t="shared" si="19"/>
        <v>9.375E-2</v>
      </c>
      <c r="DI26" s="3">
        <f t="shared" si="19"/>
        <v>6.25E-2</v>
      </c>
      <c r="DJ26" s="3">
        <f t="shared" si="19"/>
        <v>3.125E-2</v>
      </c>
      <c r="DK26" s="3">
        <f t="shared" si="19"/>
        <v>3.125E-2</v>
      </c>
      <c r="DL26" s="3">
        <f t="shared" si="19"/>
        <v>3.125E-2</v>
      </c>
      <c r="DM26" s="3">
        <f t="shared" si="19"/>
        <v>6.25E-2</v>
      </c>
      <c r="DN26" s="3">
        <f t="shared" si="19"/>
        <v>3.125E-2</v>
      </c>
      <c r="DO26" s="3">
        <f t="shared" si="19"/>
        <v>3.125E-2</v>
      </c>
      <c r="DP26" s="3">
        <f t="shared" si="19"/>
        <v>3.125E-2</v>
      </c>
      <c r="DQ26" s="3">
        <f t="shared" si="19"/>
        <v>3.125E-2</v>
      </c>
      <c r="DR26" s="3">
        <f t="shared" si="19"/>
        <v>3.125E-2</v>
      </c>
      <c r="DS26" s="2">
        <v>2</v>
      </c>
    </row>
    <row r="27" spans="1:123" x14ac:dyDescent="0.3">
      <c r="A27" s="2">
        <v>48</v>
      </c>
      <c r="B27" s="4">
        <v>20</v>
      </c>
      <c r="C27" s="6">
        <v>71</v>
      </c>
      <c r="D27" s="21"/>
      <c r="E27" s="2">
        <v>61</v>
      </c>
      <c r="F27" s="2">
        <f t="shared" si="6"/>
        <v>0</v>
      </c>
      <c r="G27" s="2">
        <f t="shared" si="6"/>
        <v>0</v>
      </c>
      <c r="H27" s="2">
        <f t="shared" si="6"/>
        <v>0</v>
      </c>
      <c r="I27" s="2">
        <f t="shared" si="6"/>
        <v>0</v>
      </c>
      <c r="J27" s="2">
        <f t="shared" si="6"/>
        <v>1</v>
      </c>
      <c r="K27" s="2">
        <f t="shared" si="6"/>
        <v>0</v>
      </c>
      <c r="L27" s="2">
        <f t="shared" si="6"/>
        <v>0</v>
      </c>
      <c r="M27" s="2">
        <f t="shared" si="6"/>
        <v>0</v>
      </c>
      <c r="N27" s="2">
        <f t="shared" si="6"/>
        <v>1</v>
      </c>
      <c r="O27" s="2">
        <f t="shared" si="6"/>
        <v>0</v>
      </c>
      <c r="P27" s="2">
        <f t="shared" si="1"/>
        <v>2</v>
      </c>
      <c r="R27" s="21"/>
      <c r="S27" s="2">
        <v>35</v>
      </c>
      <c r="T27" s="2">
        <f t="shared" si="7"/>
        <v>0.17199999999999999</v>
      </c>
      <c r="U27" s="2">
        <f t="shared" si="7"/>
        <v>9.4E-2</v>
      </c>
      <c r="V27" s="2">
        <f t="shared" si="7"/>
        <v>7.8E-2</v>
      </c>
      <c r="W27" s="2">
        <f t="shared" si="7"/>
        <v>0.125</v>
      </c>
      <c r="X27" s="2">
        <f t="shared" si="7"/>
        <v>7.8E-2</v>
      </c>
      <c r="Y27" s="2">
        <f t="shared" si="7"/>
        <v>7.8E-2</v>
      </c>
      <c r="Z27" s="2">
        <f t="shared" si="7"/>
        <v>6.3E-2</v>
      </c>
      <c r="AA27" s="2">
        <f t="shared" si="7"/>
        <v>7.8E-2</v>
      </c>
      <c r="AB27" s="2">
        <f t="shared" si="7"/>
        <v>0.109</v>
      </c>
      <c r="AC27" s="2">
        <f t="shared" si="7"/>
        <v>0.125</v>
      </c>
      <c r="AD27" s="2">
        <v>1</v>
      </c>
      <c r="AH27" s="21"/>
      <c r="AI27" s="2">
        <v>35</v>
      </c>
      <c r="AJ27" s="2">
        <f t="shared" ref="AJ27:AY42" si="20">COUNTIFS($A$2:$A$65,$AI27,$C$2:$C$65,AJ$3)</f>
        <v>0</v>
      </c>
      <c r="AK27" s="2">
        <f t="shared" si="20"/>
        <v>0</v>
      </c>
      <c r="AL27" s="2">
        <f t="shared" si="20"/>
        <v>0</v>
      </c>
      <c r="AM27" s="2">
        <f t="shared" si="20"/>
        <v>0</v>
      </c>
      <c r="AN27" s="2">
        <f t="shared" si="20"/>
        <v>0</v>
      </c>
      <c r="AO27" s="2">
        <f t="shared" si="20"/>
        <v>0</v>
      </c>
      <c r="AP27" s="2">
        <f t="shared" si="20"/>
        <v>0</v>
      </c>
      <c r="AQ27" s="2">
        <f t="shared" si="20"/>
        <v>0</v>
      </c>
      <c r="AR27" s="2">
        <f t="shared" si="20"/>
        <v>0</v>
      </c>
      <c r="AS27" s="2">
        <f t="shared" si="20"/>
        <v>0</v>
      </c>
      <c r="AT27" s="2">
        <f t="shared" si="20"/>
        <v>0</v>
      </c>
      <c r="AU27" s="2">
        <f t="shared" si="20"/>
        <v>0</v>
      </c>
      <c r="AV27" s="2">
        <f t="shared" si="20"/>
        <v>0</v>
      </c>
      <c r="AW27" s="2">
        <f t="shared" si="20"/>
        <v>0</v>
      </c>
      <c r="AX27" s="2">
        <f t="shared" si="20"/>
        <v>0</v>
      </c>
      <c r="AY27" s="2">
        <f t="shared" si="20"/>
        <v>0</v>
      </c>
      <c r="AZ27" s="2">
        <f t="shared" si="17"/>
        <v>0</v>
      </c>
      <c r="BA27" s="2">
        <f t="shared" si="17"/>
        <v>0</v>
      </c>
      <c r="BB27" s="2">
        <f t="shared" si="17"/>
        <v>0</v>
      </c>
      <c r="BC27" s="2">
        <f t="shared" si="17"/>
        <v>0</v>
      </c>
      <c r="BD27" s="2">
        <f t="shared" si="17"/>
        <v>0</v>
      </c>
      <c r="BE27" s="2">
        <f t="shared" si="17"/>
        <v>0</v>
      </c>
      <c r="BF27" s="2">
        <f t="shared" si="17"/>
        <v>0</v>
      </c>
      <c r="BG27" s="2">
        <f t="shared" si="17"/>
        <v>0</v>
      </c>
      <c r="BH27" s="2">
        <f t="shared" si="17"/>
        <v>0</v>
      </c>
      <c r="BI27" s="2">
        <f t="shared" si="15"/>
        <v>0</v>
      </c>
      <c r="BJ27" s="2">
        <f t="shared" si="15"/>
        <v>0</v>
      </c>
      <c r="BK27" s="2">
        <f t="shared" si="15"/>
        <v>0</v>
      </c>
      <c r="BL27" s="2">
        <f t="shared" si="15"/>
        <v>0</v>
      </c>
      <c r="BM27" s="2">
        <f t="shared" si="15"/>
        <v>0</v>
      </c>
      <c r="BN27" s="2">
        <f t="shared" si="15"/>
        <v>0</v>
      </c>
      <c r="BO27" s="2">
        <f t="shared" si="15"/>
        <v>0</v>
      </c>
      <c r="BP27" s="2">
        <f t="shared" si="11"/>
        <v>0</v>
      </c>
      <c r="BQ27" s="2">
        <f t="shared" si="12"/>
        <v>0</v>
      </c>
      <c r="BR27" s="2">
        <f t="shared" si="12"/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2">
        <f t="shared" si="12"/>
        <v>0</v>
      </c>
      <c r="BW27" s="2">
        <f t="shared" si="12"/>
        <v>0</v>
      </c>
      <c r="BX27" s="2">
        <f t="shared" si="12"/>
        <v>0</v>
      </c>
      <c r="BY27" s="2">
        <f t="shared" si="9"/>
        <v>0</v>
      </c>
      <c r="CB27" s="21"/>
      <c r="CC27" s="2">
        <v>35</v>
      </c>
      <c r="CD27" s="3">
        <f t="shared" ref="CD27:CS46" si="21">$DS27*CD$47/$DS$47</f>
        <v>1.5625E-2</v>
      </c>
      <c r="CE27" s="3">
        <f t="shared" si="21"/>
        <v>1.5625E-2</v>
      </c>
      <c r="CF27" s="3">
        <f t="shared" si="21"/>
        <v>1.5625E-2</v>
      </c>
      <c r="CG27" s="3">
        <f t="shared" si="21"/>
        <v>3.125E-2</v>
      </c>
      <c r="CH27" s="3">
        <f t="shared" si="21"/>
        <v>3.125E-2</v>
      </c>
      <c r="CI27" s="3">
        <f t="shared" si="21"/>
        <v>3.125E-2</v>
      </c>
      <c r="CJ27" s="3">
        <f t="shared" si="21"/>
        <v>1.5625E-2</v>
      </c>
      <c r="CK27" s="3">
        <f t="shared" si="21"/>
        <v>4.6875E-2</v>
      </c>
      <c r="CL27" s="3">
        <f t="shared" si="21"/>
        <v>1.5625E-2</v>
      </c>
      <c r="CM27" s="3">
        <f t="shared" si="21"/>
        <v>3.125E-2</v>
      </c>
      <c r="CN27" s="3">
        <f t="shared" si="21"/>
        <v>3.125E-2</v>
      </c>
      <c r="CO27" s="3">
        <f t="shared" si="21"/>
        <v>1.5625E-2</v>
      </c>
      <c r="CP27" s="3">
        <f t="shared" si="21"/>
        <v>3.125E-2</v>
      </c>
      <c r="CQ27" s="3">
        <f t="shared" si="21"/>
        <v>3.125E-2</v>
      </c>
      <c r="CR27" s="3">
        <f t="shared" si="21"/>
        <v>1.5625E-2</v>
      </c>
      <c r="CS27" s="3">
        <f t="shared" si="21"/>
        <v>4.6875E-2</v>
      </c>
      <c r="CT27" s="3">
        <f t="shared" si="18"/>
        <v>3.125E-2</v>
      </c>
      <c r="CU27" s="3">
        <f t="shared" si="18"/>
        <v>1.5625E-2</v>
      </c>
      <c r="CV27" s="3">
        <f t="shared" si="18"/>
        <v>3.125E-2</v>
      </c>
      <c r="CW27" s="3">
        <f t="shared" si="18"/>
        <v>1.5625E-2</v>
      </c>
      <c r="CX27" s="3">
        <f t="shared" si="18"/>
        <v>1.5625E-2</v>
      </c>
      <c r="CY27" s="3">
        <f t="shared" si="18"/>
        <v>3.125E-2</v>
      </c>
      <c r="CZ27" s="3">
        <f t="shared" si="18"/>
        <v>1.5625E-2</v>
      </c>
      <c r="DA27" s="3">
        <f t="shared" si="18"/>
        <v>1.5625E-2</v>
      </c>
      <c r="DB27" s="3">
        <f t="shared" si="18"/>
        <v>4.6875E-2</v>
      </c>
      <c r="DC27" s="3">
        <f t="shared" si="19"/>
        <v>1.5625E-2</v>
      </c>
      <c r="DD27" s="3">
        <f t="shared" si="19"/>
        <v>4.6875E-2</v>
      </c>
      <c r="DE27" s="3">
        <f t="shared" si="19"/>
        <v>3.125E-2</v>
      </c>
      <c r="DF27" s="3">
        <f t="shared" si="19"/>
        <v>1.5625E-2</v>
      </c>
      <c r="DG27" s="3">
        <f t="shared" si="19"/>
        <v>1.5625E-2</v>
      </c>
      <c r="DH27" s="3">
        <f t="shared" si="19"/>
        <v>4.6875E-2</v>
      </c>
      <c r="DI27" s="3">
        <f t="shared" si="19"/>
        <v>3.125E-2</v>
      </c>
      <c r="DJ27" s="3">
        <f t="shared" si="19"/>
        <v>1.5625E-2</v>
      </c>
      <c r="DK27" s="3">
        <f t="shared" si="19"/>
        <v>1.5625E-2</v>
      </c>
      <c r="DL27" s="3">
        <f t="shared" si="19"/>
        <v>1.5625E-2</v>
      </c>
      <c r="DM27" s="3">
        <f t="shared" si="19"/>
        <v>3.125E-2</v>
      </c>
      <c r="DN27" s="3">
        <f t="shared" si="19"/>
        <v>1.5625E-2</v>
      </c>
      <c r="DO27" s="3">
        <f t="shared" si="19"/>
        <v>1.5625E-2</v>
      </c>
      <c r="DP27" s="3">
        <f t="shared" si="19"/>
        <v>1.5625E-2</v>
      </c>
      <c r="DQ27" s="3">
        <f t="shared" si="19"/>
        <v>1.5625E-2</v>
      </c>
      <c r="DR27" s="3">
        <f t="shared" si="19"/>
        <v>1.5625E-2</v>
      </c>
      <c r="DS27" s="2">
        <v>1</v>
      </c>
    </row>
    <row r="28" spans="1:123" x14ac:dyDescent="0.3">
      <c r="A28" s="2">
        <v>72</v>
      </c>
      <c r="B28" s="4">
        <v>1</v>
      </c>
      <c r="C28" s="6">
        <v>77</v>
      </c>
      <c r="D28" s="21"/>
      <c r="E28" s="2">
        <v>44</v>
      </c>
      <c r="F28" s="2">
        <f t="shared" si="6"/>
        <v>0</v>
      </c>
      <c r="G28" s="2">
        <f t="shared" si="6"/>
        <v>0</v>
      </c>
      <c r="H28" s="2">
        <f t="shared" si="6"/>
        <v>1</v>
      </c>
      <c r="I28" s="2">
        <f t="shared" si="6"/>
        <v>0</v>
      </c>
      <c r="J28" s="2">
        <f t="shared" si="6"/>
        <v>0</v>
      </c>
      <c r="K28" s="2">
        <f t="shared" si="6"/>
        <v>0</v>
      </c>
      <c r="L28" s="2">
        <f t="shared" si="6"/>
        <v>0</v>
      </c>
      <c r="M28" s="2">
        <f t="shared" si="6"/>
        <v>0</v>
      </c>
      <c r="N28" s="2">
        <f t="shared" si="6"/>
        <v>0</v>
      </c>
      <c r="O28" s="2">
        <f t="shared" si="6"/>
        <v>0</v>
      </c>
      <c r="P28" s="2">
        <f t="shared" si="1"/>
        <v>1</v>
      </c>
      <c r="R28" s="21"/>
      <c r="S28" s="2">
        <v>58</v>
      </c>
      <c r="T28" s="2">
        <f t="shared" si="7"/>
        <v>0.34399999999999997</v>
      </c>
      <c r="U28" s="2">
        <f t="shared" si="7"/>
        <v>0.188</v>
      </c>
      <c r="V28" s="2">
        <f t="shared" si="7"/>
        <v>0.156</v>
      </c>
      <c r="W28" s="2">
        <f t="shared" si="7"/>
        <v>0.25</v>
      </c>
      <c r="X28" s="2">
        <f t="shared" si="7"/>
        <v>0.156</v>
      </c>
      <c r="Y28" s="2">
        <f t="shared" si="7"/>
        <v>0.156</v>
      </c>
      <c r="Z28" s="2">
        <f t="shared" si="7"/>
        <v>0.125</v>
      </c>
      <c r="AA28" s="2">
        <f t="shared" si="7"/>
        <v>0.156</v>
      </c>
      <c r="AB28" s="2">
        <f t="shared" si="7"/>
        <v>0.219</v>
      </c>
      <c r="AC28" s="2">
        <f t="shared" si="7"/>
        <v>0.25</v>
      </c>
      <c r="AD28" s="2">
        <v>2</v>
      </c>
      <c r="AH28" s="21"/>
      <c r="AI28" s="2">
        <v>58</v>
      </c>
      <c r="AJ28" s="2">
        <f t="shared" si="20"/>
        <v>0</v>
      </c>
      <c r="AK28" s="2">
        <f t="shared" si="20"/>
        <v>0</v>
      </c>
      <c r="AL28" s="2">
        <f t="shared" si="20"/>
        <v>0</v>
      </c>
      <c r="AM28" s="2">
        <f t="shared" si="20"/>
        <v>0</v>
      </c>
      <c r="AN28" s="2">
        <f t="shared" si="20"/>
        <v>0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0</v>
      </c>
      <c r="AS28" s="2">
        <f t="shared" si="20"/>
        <v>0</v>
      </c>
      <c r="AT28" s="2">
        <f t="shared" si="20"/>
        <v>0</v>
      </c>
      <c r="AU28" s="2">
        <f t="shared" si="20"/>
        <v>0</v>
      </c>
      <c r="AV28" s="2">
        <f t="shared" si="20"/>
        <v>0</v>
      </c>
      <c r="AW28" s="2">
        <f t="shared" si="20"/>
        <v>0</v>
      </c>
      <c r="AX28" s="2">
        <f t="shared" si="20"/>
        <v>0</v>
      </c>
      <c r="AY28" s="2">
        <f t="shared" si="20"/>
        <v>0</v>
      </c>
      <c r="AZ28" s="2">
        <f t="shared" si="17"/>
        <v>0</v>
      </c>
      <c r="BA28" s="2">
        <f t="shared" si="17"/>
        <v>0</v>
      </c>
      <c r="BB28" s="2">
        <f t="shared" si="17"/>
        <v>0</v>
      </c>
      <c r="BC28" s="2">
        <f t="shared" si="17"/>
        <v>0</v>
      </c>
      <c r="BD28" s="2">
        <f t="shared" si="17"/>
        <v>0</v>
      </c>
      <c r="BE28" s="2">
        <f t="shared" si="17"/>
        <v>0</v>
      </c>
      <c r="BF28" s="2">
        <f t="shared" si="17"/>
        <v>0</v>
      </c>
      <c r="BG28" s="2">
        <f t="shared" si="17"/>
        <v>0</v>
      </c>
      <c r="BH28" s="2">
        <f t="shared" si="17"/>
        <v>0</v>
      </c>
      <c r="BI28" s="2">
        <f t="shared" si="15"/>
        <v>0</v>
      </c>
      <c r="BJ28" s="2">
        <f t="shared" ref="BJ28:BX28" si="22">COUNTIFS($A$2:$A$65,$AI28,$C$2:$C$65,BJ$3)</f>
        <v>0</v>
      </c>
      <c r="BK28" s="2">
        <f t="shared" si="22"/>
        <v>0</v>
      </c>
      <c r="BL28" s="2">
        <f t="shared" si="22"/>
        <v>0</v>
      </c>
      <c r="BM28" s="2">
        <f t="shared" si="22"/>
        <v>0</v>
      </c>
      <c r="BN28" s="2">
        <f t="shared" si="22"/>
        <v>0</v>
      </c>
      <c r="BO28" s="2">
        <f t="shared" si="22"/>
        <v>0</v>
      </c>
      <c r="BP28" s="2">
        <f t="shared" si="22"/>
        <v>0</v>
      </c>
      <c r="BQ28" s="2">
        <f t="shared" si="22"/>
        <v>1</v>
      </c>
      <c r="BR28" s="2">
        <f t="shared" si="22"/>
        <v>0</v>
      </c>
      <c r="BS28" s="2">
        <f t="shared" si="22"/>
        <v>0</v>
      </c>
      <c r="BT28" s="2">
        <f t="shared" si="22"/>
        <v>0</v>
      </c>
      <c r="BU28" s="2">
        <f t="shared" si="12"/>
        <v>0</v>
      </c>
      <c r="BV28" s="2">
        <f t="shared" si="22"/>
        <v>0</v>
      </c>
      <c r="BW28" s="2">
        <f t="shared" si="22"/>
        <v>0</v>
      </c>
      <c r="BX28" s="2">
        <f t="shared" si="22"/>
        <v>0</v>
      </c>
      <c r="BY28" s="2">
        <f t="shared" si="9"/>
        <v>1</v>
      </c>
      <c r="CB28" s="21"/>
      <c r="CC28" s="2">
        <v>58</v>
      </c>
      <c r="CD28" s="3">
        <f t="shared" si="21"/>
        <v>3.125E-2</v>
      </c>
      <c r="CE28" s="3">
        <f t="shared" si="21"/>
        <v>3.125E-2</v>
      </c>
      <c r="CF28" s="3">
        <f t="shared" si="21"/>
        <v>3.125E-2</v>
      </c>
      <c r="CG28" s="3">
        <f t="shared" si="21"/>
        <v>6.25E-2</v>
      </c>
      <c r="CH28" s="3">
        <f t="shared" si="21"/>
        <v>6.25E-2</v>
      </c>
      <c r="CI28" s="3">
        <f t="shared" si="21"/>
        <v>6.25E-2</v>
      </c>
      <c r="CJ28" s="3">
        <f t="shared" si="21"/>
        <v>3.125E-2</v>
      </c>
      <c r="CK28" s="3">
        <f t="shared" si="21"/>
        <v>9.375E-2</v>
      </c>
      <c r="CL28" s="3">
        <f t="shared" si="21"/>
        <v>3.125E-2</v>
      </c>
      <c r="CM28" s="3">
        <f t="shared" si="21"/>
        <v>6.25E-2</v>
      </c>
      <c r="CN28" s="3">
        <f t="shared" si="21"/>
        <v>6.25E-2</v>
      </c>
      <c r="CO28" s="3">
        <f t="shared" si="21"/>
        <v>3.125E-2</v>
      </c>
      <c r="CP28" s="3">
        <f t="shared" si="21"/>
        <v>6.25E-2</v>
      </c>
      <c r="CQ28" s="3">
        <f t="shared" si="21"/>
        <v>6.25E-2</v>
      </c>
      <c r="CR28" s="3">
        <f t="shared" si="21"/>
        <v>3.125E-2</v>
      </c>
      <c r="CS28" s="3">
        <f t="shared" si="21"/>
        <v>9.375E-2</v>
      </c>
      <c r="CT28" s="3">
        <f t="shared" si="18"/>
        <v>6.25E-2</v>
      </c>
      <c r="CU28" s="3">
        <f t="shared" si="18"/>
        <v>3.125E-2</v>
      </c>
      <c r="CV28" s="3">
        <f t="shared" si="18"/>
        <v>6.25E-2</v>
      </c>
      <c r="CW28" s="3">
        <f t="shared" si="18"/>
        <v>3.125E-2</v>
      </c>
      <c r="CX28" s="3">
        <f t="shared" si="18"/>
        <v>3.125E-2</v>
      </c>
      <c r="CY28" s="3">
        <f t="shared" si="18"/>
        <v>6.25E-2</v>
      </c>
      <c r="CZ28" s="3">
        <f t="shared" si="18"/>
        <v>3.125E-2</v>
      </c>
      <c r="DA28" s="3">
        <f t="shared" si="18"/>
        <v>3.125E-2</v>
      </c>
      <c r="DB28" s="3">
        <f t="shared" si="18"/>
        <v>9.375E-2</v>
      </c>
      <c r="DC28" s="3">
        <f t="shared" si="19"/>
        <v>3.125E-2</v>
      </c>
      <c r="DD28" s="3">
        <f t="shared" si="19"/>
        <v>9.375E-2</v>
      </c>
      <c r="DE28" s="3">
        <f t="shared" si="19"/>
        <v>6.25E-2</v>
      </c>
      <c r="DF28" s="3">
        <f t="shared" si="19"/>
        <v>3.125E-2</v>
      </c>
      <c r="DG28" s="3">
        <f t="shared" si="19"/>
        <v>3.125E-2</v>
      </c>
      <c r="DH28" s="3">
        <f t="shared" si="19"/>
        <v>9.375E-2</v>
      </c>
      <c r="DI28" s="3">
        <f t="shared" si="19"/>
        <v>6.25E-2</v>
      </c>
      <c r="DJ28" s="3">
        <f t="shared" si="19"/>
        <v>3.125E-2</v>
      </c>
      <c r="DK28" s="3">
        <f t="shared" si="19"/>
        <v>3.125E-2</v>
      </c>
      <c r="DL28" s="3">
        <f t="shared" si="19"/>
        <v>3.125E-2</v>
      </c>
      <c r="DM28" s="3">
        <f t="shared" si="19"/>
        <v>6.25E-2</v>
      </c>
      <c r="DN28" s="3">
        <f t="shared" si="19"/>
        <v>3.125E-2</v>
      </c>
      <c r="DO28" s="3">
        <f t="shared" si="19"/>
        <v>3.125E-2</v>
      </c>
      <c r="DP28" s="3">
        <f t="shared" si="19"/>
        <v>3.125E-2</v>
      </c>
      <c r="DQ28" s="3">
        <f t="shared" si="19"/>
        <v>3.125E-2</v>
      </c>
      <c r="DR28" s="3">
        <f t="shared" si="19"/>
        <v>3.125E-2</v>
      </c>
      <c r="DS28" s="2">
        <v>2</v>
      </c>
    </row>
    <row r="29" spans="1:123" x14ac:dyDescent="0.3">
      <c r="A29" s="2">
        <v>76</v>
      </c>
      <c r="B29" s="4">
        <v>12</v>
      </c>
      <c r="C29" s="6">
        <v>64</v>
      </c>
      <c r="D29" s="21"/>
      <c r="E29" s="2">
        <v>78</v>
      </c>
      <c r="F29" s="2">
        <f t="shared" si="6"/>
        <v>0</v>
      </c>
      <c r="G29" s="2">
        <f t="shared" si="6"/>
        <v>0</v>
      </c>
      <c r="H29" s="2">
        <f t="shared" si="6"/>
        <v>0</v>
      </c>
      <c r="I29" s="2">
        <f t="shared" si="6"/>
        <v>0</v>
      </c>
      <c r="J29" s="2">
        <f t="shared" si="6"/>
        <v>0</v>
      </c>
      <c r="K29" s="2">
        <f t="shared" si="6"/>
        <v>0</v>
      </c>
      <c r="L29" s="2">
        <f t="shared" si="6"/>
        <v>0</v>
      </c>
      <c r="M29" s="2">
        <f t="shared" si="6"/>
        <v>0</v>
      </c>
      <c r="N29" s="2">
        <f t="shared" si="6"/>
        <v>0</v>
      </c>
      <c r="O29" s="2">
        <f t="shared" si="6"/>
        <v>0</v>
      </c>
      <c r="P29" s="2">
        <f t="shared" si="1"/>
        <v>0</v>
      </c>
      <c r="R29" s="21"/>
      <c r="S29" s="2">
        <v>22</v>
      </c>
      <c r="T29" s="2">
        <f t="shared" si="7"/>
        <v>0.17199999999999999</v>
      </c>
      <c r="U29" s="2">
        <f t="shared" si="7"/>
        <v>9.4E-2</v>
      </c>
      <c r="V29" s="2">
        <f t="shared" si="7"/>
        <v>7.8E-2</v>
      </c>
      <c r="W29" s="2">
        <f t="shared" si="7"/>
        <v>0.125</v>
      </c>
      <c r="X29" s="2">
        <f t="shared" si="7"/>
        <v>7.8E-2</v>
      </c>
      <c r="Y29" s="2">
        <f t="shared" si="7"/>
        <v>7.8E-2</v>
      </c>
      <c r="Z29" s="2">
        <f t="shared" si="7"/>
        <v>6.3E-2</v>
      </c>
      <c r="AA29" s="2">
        <f t="shared" si="7"/>
        <v>7.8E-2</v>
      </c>
      <c r="AB29" s="2">
        <f t="shared" si="7"/>
        <v>0.109</v>
      </c>
      <c r="AC29" s="2">
        <f t="shared" si="7"/>
        <v>0.125</v>
      </c>
      <c r="AD29" s="2">
        <v>1</v>
      </c>
      <c r="AH29" s="21"/>
      <c r="AI29" s="2">
        <v>22</v>
      </c>
      <c r="AJ29" s="2">
        <f t="shared" si="20"/>
        <v>0</v>
      </c>
      <c r="AK29" s="2">
        <f t="shared" si="20"/>
        <v>0</v>
      </c>
      <c r="AL29" s="2">
        <f t="shared" si="20"/>
        <v>0</v>
      </c>
      <c r="AM29" s="2">
        <f t="shared" si="20"/>
        <v>0</v>
      </c>
      <c r="AN29" s="2">
        <f t="shared" si="20"/>
        <v>0</v>
      </c>
      <c r="AO29" s="2">
        <f t="shared" si="20"/>
        <v>0</v>
      </c>
      <c r="AP29" s="2">
        <f t="shared" si="20"/>
        <v>0</v>
      </c>
      <c r="AQ29" s="2">
        <f t="shared" si="20"/>
        <v>0</v>
      </c>
      <c r="AR29" s="2">
        <f t="shared" si="20"/>
        <v>0</v>
      </c>
      <c r="AS29" s="2">
        <f t="shared" si="20"/>
        <v>0</v>
      </c>
      <c r="AT29" s="2">
        <f t="shared" si="20"/>
        <v>0</v>
      </c>
      <c r="AU29" s="2">
        <f t="shared" si="20"/>
        <v>0</v>
      </c>
      <c r="AV29" s="2">
        <f t="shared" si="20"/>
        <v>0</v>
      </c>
      <c r="AW29" s="2">
        <f t="shared" si="20"/>
        <v>0</v>
      </c>
      <c r="AX29" s="2">
        <f t="shared" si="20"/>
        <v>0</v>
      </c>
      <c r="AY29" s="2">
        <f t="shared" si="20"/>
        <v>0</v>
      </c>
      <c r="AZ29" s="2">
        <f t="shared" si="17"/>
        <v>0</v>
      </c>
      <c r="BA29" s="2">
        <f t="shared" si="17"/>
        <v>0</v>
      </c>
      <c r="BB29" s="2">
        <f t="shared" si="17"/>
        <v>0</v>
      </c>
      <c r="BC29" s="2">
        <f t="shared" si="17"/>
        <v>0</v>
      </c>
      <c r="BD29" s="2">
        <f t="shared" si="17"/>
        <v>0</v>
      </c>
      <c r="BE29" s="2">
        <f t="shared" si="17"/>
        <v>0</v>
      </c>
      <c r="BF29" s="2">
        <f t="shared" si="17"/>
        <v>0</v>
      </c>
      <c r="BG29" s="2">
        <f t="shared" si="17"/>
        <v>0</v>
      </c>
      <c r="BH29" s="2">
        <f t="shared" si="17"/>
        <v>0</v>
      </c>
      <c r="BI29" s="2">
        <f t="shared" ref="BI29:BX45" si="23">COUNTIFS($A$2:$A$65,$AI29,$C$2:$C$65,BI$3)</f>
        <v>0</v>
      </c>
      <c r="BJ29" s="2">
        <f t="shared" si="23"/>
        <v>0</v>
      </c>
      <c r="BK29" s="2">
        <f t="shared" si="23"/>
        <v>0</v>
      </c>
      <c r="BL29" s="2">
        <f t="shared" si="23"/>
        <v>0</v>
      </c>
      <c r="BM29" s="2">
        <f t="shared" si="23"/>
        <v>0</v>
      </c>
      <c r="BN29" s="2">
        <f t="shared" si="23"/>
        <v>0</v>
      </c>
      <c r="BO29" s="2">
        <f t="shared" si="23"/>
        <v>0</v>
      </c>
      <c r="BP29" s="2">
        <f t="shared" si="23"/>
        <v>0</v>
      </c>
      <c r="BQ29" s="2">
        <f t="shared" si="23"/>
        <v>0</v>
      </c>
      <c r="BR29" s="2">
        <f t="shared" si="23"/>
        <v>0</v>
      </c>
      <c r="BS29" s="2">
        <f t="shared" si="23"/>
        <v>0</v>
      </c>
      <c r="BT29" s="2">
        <f t="shared" si="23"/>
        <v>0</v>
      </c>
      <c r="BU29" s="2">
        <f t="shared" si="12"/>
        <v>0</v>
      </c>
      <c r="BV29" s="2">
        <f t="shared" si="23"/>
        <v>0</v>
      </c>
      <c r="BW29" s="2">
        <f t="shared" si="23"/>
        <v>0</v>
      </c>
      <c r="BX29" s="2">
        <f t="shared" si="23"/>
        <v>0</v>
      </c>
      <c r="BY29" s="2">
        <f t="shared" si="9"/>
        <v>0</v>
      </c>
      <c r="CB29" s="21"/>
      <c r="CC29" s="2">
        <v>22</v>
      </c>
      <c r="CD29" s="3">
        <f t="shared" si="21"/>
        <v>1.5625E-2</v>
      </c>
      <c r="CE29" s="3">
        <f t="shared" si="21"/>
        <v>1.5625E-2</v>
      </c>
      <c r="CF29" s="3">
        <f t="shared" si="21"/>
        <v>1.5625E-2</v>
      </c>
      <c r="CG29" s="3">
        <f t="shared" si="21"/>
        <v>3.125E-2</v>
      </c>
      <c r="CH29" s="3">
        <f t="shared" si="21"/>
        <v>3.125E-2</v>
      </c>
      <c r="CI29" s="3">
        <f t="shared" si="21"/>
        <v>3.125E-2</v>
      </c>
      <c r="CJ29" s="3">
        <f t="shared" si="21"/>
        <v>1.5625E-2</v>
      </c>
      <c r="CK29" s="3">
        <f t="shared" si="21"/>
        <v>4.6875E-2</v>
      </c>
      <c r="CL29" s="3">
        <f t="shared" si="21"/>
        <v>1.5625E-2</v>
      </c>
      <c r="CM29" s="3">
        <f t="shared" si="21"/>
        <v>3.125E-2</v>
      </c>
      <c r="CN29" s="3">
        <f t="shared" si="21"/>
        <v>3.125E-2</v>
      </c>
      <c r="CO29" s="3">
        <f t="shared" si="21"/>
        <v>1.5625E-2</v>
      </c>
      <c r="CP29" s="3">
        <f t="shared" si="21"/>
        <v>3.125E-2</v>
      </c>
      <c r="CQ29" s="3">
        <f t="shared" si="21"/>
        <v>3.125E-2</v>
      </c>
      <c r="CR29" s="3">
        <f t="shared" si="21"/>
        <v>1.5625E-2</v>
      </c>
      <c r="CS29" s="3">
        <f t="shared" si="21"/>
        <v>4.6875E-2</v>
      </c>
      <c r="CT29" s="3">
        <f t="shared" si="18"/>
        <v>3.125E-2</v>
      </c>
      <c r="CU29" s="3">
        <f t="shared" si="18"/>
        <v>1.5625E-2</v>
      </c>
      <c r="CV29" s="3">
        <f t="shared" si="18"/>
        <v>3.125E-2</v>
      </c>
      <c r="CW29" s="3">
        <f t="shared" si="18"/>
        <v>1.5625E-2</v>
      </c>
      <c r="CX29" s="3">
        <f t="shared" si="18"/>
        <v>1.5625E-2</v>
      </c>
      <c r="CY29" s="3">
        <f t="shared" si="18"/>
        <v>3.125E-2</v>
      </c>
      <c r="CZ29" s="3">
        <f t="shared" si="18"/>
        <v>1.5625E-2</v>
      </c>
      <c r="DA29" s="3">
        <f t="shared" si="18"/>
        <v>1.5625E-2</v>
      </c>
      <c r="DB29" s="3">
        <f t="shared" si="18"/>
        <v>4.6875E-2</v>
      </c>
      <c r="DC29" s="3">
        <f t="shared" si="19"/>
        <v>1.5625E-2</v>
      </c>
      <c r="DD29" s="3">
        <f t="shared" si="19"/>
        <v>4.6875E-2</v>
      </c>
      <c r="DE29" s="3">
        <f t="shared" si="19"/>
        <v>3.125E-2</v>
      </c>
      <c r="DF29" s="3">
        <f t="shared" si="19"/>
        <v>1.5625E-2</v>
      </c>
      <c r="DG29" s="3">
        <f t="shared" si="19"/>
        <v>1.5625E-2</v>
      </c>
      <c r="DH29" s="3">
        <f t="shared" si="19"/>
        <v>4.6875E-2</v>
      </c>
      <c r="DI29" s="3">
        <f t="shared" si="19"/>
        <v>3.125E-2</v>
      </c>
      <c r="DJ29" s="3">
        <f t="shared" si="19"/>
        <v>1.5625E-2</v>
      </c>
      <c r="DK29" s="3">
        <f t="shared" si="19"/>
        <v>1.5625E-2</v>
      </c>
      <c r="DL29" s="3">
        <f t="shared" si="19"/>
        <v>1.5625E-2</v>
      </c>
      <c r="DM29" s="3">
        <f t="shared" si="19"/>
        <v>3.125E-2</v>
      </c>
      <c r="DN29" s="3">
        <f t="shared" si="19"/>
        <v>1.5625E-2</v>
      </c>
      <c r="DO29" s="3">
        <f t="shared" si="19"/>
        <v>1.5625E-2</v>
      </c>
      <c r="DP29" s="3">
        <f t="shared" si="19"/>
        <v>1.5625E-2</v>
      </c>
      <c r="DQ29" s="3">
        <f t="shared" si="19"/>
        <v>1.5625E-2</v>
      </c>
      <c r="DR29" s="3">
        <f t="shared" si="19"/>
        <v>1.5625E-2</v>
      </c>
      <c r="DS29" s="2">
        <v>1</v>
      </c>
    </row>
    <row r="30" spans="1:123" x14ac:dyDescent="0.3">
      <c r="A30" s="2">
        <v>67</v>
      </c>
      <c r="B30" s="4">
        <v>15</v>
      </c>
      <c r="C30" s="6">
        <v>24</v>
      </c>
      <c r="D30" s="21"/>
      <c r="E30" s="2">
        <v>45</v>
      </c>
      <c r="F30" s="2">
        <f t="shared" si="6"/>
        <v>0</v>
      </c>
      <c r="G30" s="2">
        <f t="shared" si="6"/>
        <v>0</v>
      </c>
      <c r="H30" s="2">
        <f t="shared" si="6"/>
        <v>1</v>
      </c>
      <c r="I30" s="2">
        <f t="shared" si="6"/>
        <v>0</v>
      </c>
      <c r="J30" s="2">
        <f t="shared" si="6"/>
        <v>0</v>
      </c>
      <c r="K30" s="2">
        <f t="shared" si="6"/>
        <v>0</v>
      </c>
      <c r="L30" s="2">
        <f t="shared" si="6"/>
        <v>0</v>
      </c>
      <c r="M30" s="2">
        <f t="shared" si="6"/>
        <v>0</v>
      </c>
      <c r="N30" s="2">
        <f t="shared" si="6"/>
        <v>0</v>
      </c>
      <c r="O30" s="2">
        <f t="shared" si="6"/>
        <v>0</v>
      </c>
      <c r="P30" s="2">
        <f t="shared" si="1"/>
        <v>1</v>
      </c>
      <c r="R30" s="21"/>
      <c r="S30" s="2">
        <v>55</v>
      </c>
      <c r="T30" s="2">
        <f t="shared" si="7"/>
        <v>0.17199999999999999</v>
      </c>
      <c r="U30" s="2">
        <f t="shared" si="7"/>
        <v>9.4E-2</v>
      </c>
      <c r="V30" s="2">
        <f t="shared" si="7"/>
        <v>7.8E-2</v>
      </c>
      <c r="W30" s="2">
        <f t="shared" si="7"/>
        <v>0.125</v>
      </c>
      <c r="X30" s="2">
        <f t="shared" si="7"/>
        <v>7.8E-2</v>
      </c>
      <c r="Y30" s="2">
        <f t="shared" si="7"/>
        <v>7.8E-2</v>
      </c>
      <c r="Z30" s="2">
        <f t="shared" si="7"/>
        <v>6.3E-2</v>
      </c>
      <c r="AA30" s="2">
        <f t="shared" si="7"/>
        <v>7.8E-2</v>
      </c>
      <c r="AB30" s="2">
        <f t="shared" si="7"/>
        <v>0.109</v>
      </c>
      <c r="AC30" s="2">
        <f t="shared" si="7"/>
        <v>0.125</v>
      </c>
      <c r="AD30" s="2">
        <v>1</v>
      </c>
      <c r="AH30" s="21"/>
      <c r="AI30" s="2">
        <v>55</v>
      </c>
      <c r="AJ30" s="2">
        <f t="shared" si="20"/>
        <v>0</v>
      </c>
      <c r="AK30" s="2">
        <f t="shared" si="20"/>
        <v>0</v>
      </c>
      <c r="AL30" s="2">
        <f t="shared" si="20"/>
        <v>0</v>
      </c>
      <c r="AM30" s="2">
        <f t="shared" si="20"/>
        <v>0</v>
      </c>
      <c r="AN30" s="2">
        <f t="shared" si="20"/>
        <v>1</v>
      </c>
      <c r="AO30" s="2">
        <f t="shared" si="20"/>
        <v>0</v>
      </c>
      <c r="AP30" s="2">
        <f t="shared" si="20"/>
        <v>0</v>
      </c>
      <c r="AQ30" s="2">
        <f t="shared" si="20"/>
        <v>0</v>
      </c>
      <c r="AR30" s="2">
        <f t="shared" si="20"/>
        <v>0</v>
      </c>
      <c r="AS30" s="2">
        <f t="shared" si="20"/>
        <v>0</v>
      </c>
      <c r="AT30" s="2">
        <f t="shared" si="20"/>
        <v>0</v>
      </c>
      <c r="AU30" s="2">
        <f t="shared" si="20"/>
        <v>0</v>
      </c>
      <c r="AV30" s="2">
        <f t="shared" si="20"/>
        <v>0</v>
      </c>
      <c r="AW30" s="2">
        <f t="shared" si="20"/>
        <v>1</v>
      </c>
      <c r="AX30" s="2">
        <f t="shared" si="20"/>
        <v>0</v>
      </c>
      <c r="AY30" s="2">
        <f t="shared" si="20"/>
        <v>1</v>
      </c>
      <c r="AZ30" s="2">
        <f t="shared" si="17"/>
        <v>0</v>
      </c>
      <c r="BA30" s="2">
        <f t="shared" si="17"/>
        <v>1</v>
      </c>
      <c r="BB30" s="2">
        <f t="shared" si="17"/>
        <v>0</v>
      </c>
      <c r="BC30" s="2">
        <f t="shared" si="17"/>
        <v>0</v>
      </c>
      <c r="BD30" s="2">
        <f t="shared" si="17"/>
        <v>0</v>
      </c>
      <c r="BE30" s="2">
        <f t="shared" si="17"/>
        <v>0</v>
      </c>
      <c r="BF30" s="2">
        <f t="shared" si="17"/>
        <v>0</v>
      </c>
      <c r="BG30" s="2">
        <f t="shared" si="17"/>
        <v>0</v>
      </c>
      <c r="BH30" s="2">
        <f t="shared" si="17"/>
        <v>0</v>
      </c>
      <c r="BI30" s="2">
        <f t="shared" si="23"/>
        <v>0</v>
      </c>
      <c r="BJ30" s="2">
        <f t="shared" si="23"/>
        <v>0</v>
      </c>
      <c r="BK30" s="2">
        <f t="shared" si="23"/>
        <v>0</v>
      </c>
      <c r="BL30" s="2">
        <f t="shared" si="23"/>
        <v>0</v>
      </c>
      <c r="BM30" s="2">
        <f t="shared" si="23"/>
        <v>0</v>
      </c>
      <c r="BN30" s="2">
        <f t="shared" si="23"/>
        <v>0</v>
      </c>
      <c r="BO30" s="2">
        <f t="shared" si="23"/>
        <v>0</v>
      </c>
      <c r="BP30" s="2">
        <f t="shared" si="23"/>
        <v>0</v>
      </c>
      <c r="BQ30" s="2">
        <f t="shared" si="23"/>
        <v>0</v>
      </c>
      <c r="BR30" s="2">
        <f t="shared" si="23"/>
        <v>0</v>
      </c>
      <c r="BS30" s="2">
        <f t="shared" si="23"/>
        <v>1</v>
      </c>
      <c r="BT30" s="2">
        <f t="shared" si="23"/>
        <v>0</v>
      </c>
      <c r="BU30" s="2">
        <f t="shared" si="12"/>
        <v>0</v>
      </c>
      <c r="BV30" s="2">
        <f t="shared" si="23"/>
        <v>0</v>
      </c>
      <c r="BW30" s="2">
        <f t="shared" si="23"/>
        <v>0</v>
      </c>
      <c r="BX30" s="2">
        <f t="shared" si="23"/>
        <v>0</v>
      </c>
      <c r="BY30" s="2">
        <f t="shared" si="9"/>
        <v>5</v>
      </c>
      <c r="CB30" s="21"/>
      <c r="CC30" s="2">
        <v>55</v>
      </c>
      <c r="CD30" s="3">
        <f t="shared" si="21"/>
        <v>1.5625E-2</v>
      </c>
      <c r="CE30" s="3">
        <f t="shared" si="21"/>
        <v>1.5625E-2</v>
      </c>
      <c r="CF30" s="3">
        <f t="shared" si="21"/>
        <v>1.5625E-2</v>
      </c>
      <c r="CG30" s="3">
        <f t="shared" si="21"/>
        <v>3.125E-2</v>
      </c>
      <c r="CH30" s="3">
        <f t="shared" si="21"/>
        <v>3.125E-2</v>
      </c>
      <c r="CI30" s="3">
        <f t="shared" si="21"/>
        <v>3.125E-2</v>
      </c>
      <c r="CJ30" s="3">
        <f t="shared" si="21"/>
        <v>1.5625E-2</v>
      </c>
      <c r="CK30" s="3">
        <f t="shared" si="21"/>
        <v>4.6875E-2</v>
      </c>
      <c r="CL30" s="3">
        <f t="shared" si="21"/>
        <v>1.5625E-2</v>
      </c>
      <c r="CM30" s="3">
        <f t="shared" si="21"/>
        <v>3.125E-2</v>
      </c>
      <c r="CN30" s="3">
        <f t="shared" si="21"/>
        <v>3.125E-2</v>
      </c>
      <c r="CO30" s="3">
        <f t="shared" si="21"/>
        <v>1.5625E-2</v>
      </c>
      <c r="CP30" s="3">
        <f t="shared" si="21"/>
        <v>3.125E-2</v>
      </c>
      <c r="CQ30" s="3">
        <f t="shared" si="21"/>
        <v>3.125E-2</v>
      </c>
      <c r="CR30" s="3">
        <f t="shared" si="21"/>
        <v>1.5625E-2</v>
      </c>
      <c r="CS30" s="3">
        <f t="shared" si="21"/>
        <v>4.6875E-2</v>
      </c>
      <c r="CT30" s="3">
        <f t="shared" si="18"/>
        <v>3.125E-2</v>
      </c>
      <c r="CU30" s="3">
        <f t="shared" si="18"/>
        <v>1.5625E-2</v>
      </c>
      <c r="CV30" s="3">
        <f t="shared" si="18"/>
        <v>3.125E-2</v>
      </c>
      <c r="CW30" s="3">
        <f t="shared" si="18"/>
        <v>1.5625E-2</v>
      </c>
      <c r="CX30" s="3">
        <f t="shared" si="18"/>
        <v>1.5625E-2</v>
      </c>
      <c r="CY30" s="3">
        <f t="shared" si="18"/>
        <v>3.125E-2</v>
      </c>
      <c r="CZ30" s="3">
        <f t="shared" si="18"/>
        <v>1.5625E-2</v>
      </c>
      <c r="DA30" s="3">
        <f t="shared" si="18"/>
        <v>1.5625E-2</v>
      </c>
      <c r="DB30" s="3">
        <f t="shared" si="18"/>
        <v>4.6875E-2</v>
      </c>
      <c r="DC30" s="3">
        <f t="shared" si="19"/>
        <v>1.5625E-2</v>
      </c>
      <c r="DD30" s="3">
        <f t="shared" si="19"/>
        <v>4.6875E-2</v>
      </c>
      <c r="DE30" s="3">
        <f t="shared" si="19"/>
        <v>3.125E-2</v>
      </c>
      <c r="DF30" s="3">
        <f t="shared" si="19"/>
        <v>1.5625E-2</v>
      </c>
      <c r="DG30" s="3">
        <f t="shared" si="19"/>
        <v>1.5625E-2</v>
      </c>
      <c r="DH30" s="3">
        <f t="shared" si="19"/>
        <v>4.6875E-2</v>
      </c>
      <c r="DI30" s="3">
        <f t="shared" si="19"/>
        <v>3.125E-2</v>
      </c>
      <c r="DJ30" s="3">
        <f t="shared" si="19"/>
        <v>1.5625E-2</v>
      </c>
      <c r="DK30" s="3">
        <f t="shared" si="19"/>
        <v>1.5625E-2</v>
      </c>
      <c r="DL30" s="3">
        <f t="shared" si="19"/>
        <v>1.5625E-2</v>
      </c>
      <c r="DM30" s="3">
        <f t="shared" si="19"/>
        <v>3.125E-2</v>
      </c>
      <c r="DN30" s="3">
        <f t="shared" si="19"/>
        <v>1.5625E-2</v>
      </c>
      <c r="DO30" s="3">
        <f t="shared" si="19"/>
        <v>1.5625E-2</v>
      </c>
      <c r="DP30" s="3">
        <f t="shared" si="19"/>
        <v>1.5625E-2</v>
      </c>
      <c r="DQ30" s="3">
        <f t="shared" si="19"/>
        <v>1.5625E-2</v>
      </c>
      <c r="DR30" s="3">
        <f t="shared" si="19"/>
        <v>1.5625E-2</v>
      </c>
      <c r="DS30" s="2">
        <v>1</v>
      </c>
    </row>
    <row r="31" spans="1:123" x14ac:dyDescent="0.3">
      <c r="A31" s="2">
        <v>66</v>
      </c>
      <c r="B31" s="4">
        <v>9</v>
      </c>
      <c r="C31" s="6">
        <v>22</v>
      </c>
      <c r="D31" s="21"/>
      <c r="E31" s="2">
        <v>62</v>
      </c>
      <c r="F31" s="2">
        <f t="shared" si="6"/>
        <v>0</v>
      </c>
      <c r="G31" s="2">
        <f t="shared" si="6"/>
        <v>0</v>
      </c>
      <c r="H31" s="2">
        <f t="shared" si="6"/>
        <v>0</v>
      </c>
      <c r="I31" s="2">
        <f t="shared" si="6"/>
        <v>0</v>
      </c>
      <c r="J31" s="2">
        <f t="shared" si="6"/>
        <v>0</v>
      </c>
      <c r="K31" s="2">
        <f t="shared" si="6"/>
        <v>0</v>
      </c>
      <c r="L31" s="2">
        <f t="shared" si="6"/>
        <v>0</v>
      </c>
      <c r="M31" s="2">
        <f t="shared" si="6"/>
        <v>1</v>
      </c>
      <c r="N31" s="2">
        <f t="shared" si="6"/>
        <v>0</v>
      </c>
      <c r="O31" s="2">
        <f t="shared" si="6"/>
        <v>0</v>
      </c>
      <c r="P31" s="2">
        <f t="shared" si="1"/>
        <v>1</v>
      </c>
      <c r="R31" s="21"/>
      <c r="S31" s="2">
        <v>65</v>
      </c>
      <c r="T31" s="2">
        <f t="shared" si="7"/>
        <v>0.17199999999999999</v>
      </c>
      <c r="U31" s="2">
        <f t="shared" si="7"/>
        <v>9.4E-2</v>
      </c>
      <c r="V31" s="2">
        <f t="shared" si="7"/>
        <v>7.8E-2</v>
      </c>
      <c r="W31" s="2">
        <f t="shared" si="7"/>
        <v>0.125</v>
      </c>
      <c r="X31" s="2">
        <f t="shared" si="7"/>
        <v>7.8E-2</v>
      </c>
      <c r="Y31" s="2">
        <f t="shared" si="7"/>
        <v>7.8E-2</v>
      </c>
      <c r="Z31" s="2">
        <f t="shared" si="7"/>
        <v>6.3E-2</v>
      </c>
      <c r="AA31" s="2">
        <f t="shared" si="7"/>
        <v>7.8E-2</v>
      </c>
      <c r="AB31" s="2">
        <f t="shared" si="7"/>
        <v>0.109</v>
      </c>
      <c r="AC31" s="2">
        <f t="shared" si="7"/>
        <v>0.125</v>
      </c>
      <c r="AD31" s="2">
        <v>1</v>
      </c>
      <c r="AH31" s="21"/>
      <c r="AI31" s="2">
        <v>65</v>
      </c>
      <c r="AJ31" s="2">
        <f t="shared" si="20"/>
        <v>0</v>
      </c>
      <c r="AK31" s="2">
        <f t="shared" si="20"/>
        <v>0</v>
      </c>
      <c r="AL31" s="2">
        <f t="shared" si="20"/>
        <v>0</v>
      </c>
      <c r="AM31" s="2">
        <f t="shared" si="20"/>
        <v>0</v>
      </c>
      <c r="AN31" s="2">
        <f t="shared" si="20"/>
        <v>0</v>
      </c>
      <c r="AO31" s="2">
        <f t="shared" si="20"/>
        <v>0</v>
      </c>
      <c r="AP31" s="2">
        <f t="shared" si="20"/>
        <v>0</v>
      </c>
      <c r="AQ31" s="2">
        <f t="shared" si="20"/>
        <v>0</v>
      </c>
      <c r="AR31" s="2">
        <f t="shared" si="20"/>
        <v>0</v>
      </c>
      <c r="AS31" s="2">
        <f t="shared" si="20"/>
        <v>0</v>
      </c>
      <c r="AT31" s="2">
        <f t="shared" si="20"/>
        <v>0</v>
      </c>
      <c r="AU31" s="2">
        <f t="shared" si="20"/>
        <v>0</v>
      </c>
      <c r="AV31" s="2">
        <f t="shared" si="20"/>
        <v>0</v>
      </c>
      <c r="AW31" s="2">
        <f t="shared" si="20"/>
        <v>0</v>
      </c>
      <c r="AX31" s="2">
        <f t="shared" si="20"/>
        <v>0</v>
      </c>
      <c r="AY31" s="2">
        <f t="shared" si="20"/>
        <v>0</v>
      </c>
      <c r="AZ31" s="2">
        <f t="shared" si="17"/>
        <v>0</v>
      </c>
      <c r="BA31" s="2">
        <f t="shared" si="17"/>
        <v>0</v>
      </c>
      <c r="BB31" s="2">
        <f t="shared" si="17"/>
        <v>0</v>
      </c>
      <c r="BC31" s="2">
        <f t="shared" si="17"/>
        <v>0</v>
      </c>
      <c r="BD31" s="2">
        <f t="shared" si="17"/>
        <v>0</v>
      </c>
      <c r="BE31" s="2">
        <f t="shared" si="17"/>
        <v>0</v>
      </c>
      <c r="BF31" s="2">
        <f t="shared" si="17"/>
        <v>0</v>
      </c>
      <c r="BG31" s="2">
        <f t="shared" si="17"/>
        <v>0</v>
      </c>
      <c r="BH31" s="2">
        <f t="shared" si="17"/>
        <v>0</v>
      </c>
      <c r="BI31" s="2">
        <f t="shared" si="23"/>
        <v>0</v>
      </c>
      <c r="BJ31" s="2">
        <f t="shared" si="23"/>
        <v>0</v>
      </c>
      <c r="BK31" s="2">
        <f t="shared" si="23"/>
        <v>0</v>
      </c>
      <c r="BL31" s="2">
        <f t="shared" si="23"/>
        <v>0</v>
      </c>
      <c r="BM31" s="2">
        <f t="shared" si="23"/>
        <v>0</v>
      </c>
      <c r="BN31" s="2">
        <f t="shared" si="23"/>
        <v>0</v>
      </c>
      <c r="BO31" s="2">
        <f t="shared" si="23"/>
        <v>0</v>
      </c>
      <c r="BP31" s="2">
        <f t="shared" si="23"/>
        <v>0</v>
      </c>
      <c r="BQ31" s="2">
        <f t="shared" si="23"/>
        <v>0</v>
      </c>
      <c r="BR31" s="2">
        <f t="shared" si="23"/>
        <v>0</v>
      </c>
      <c r="BS31" s="2">
        <f t="shared" si="23"/>
        <v>0</v>
      </c>
      <c r="BT31" s="2">
        <f t="shared" si="23"/>
        <v>0</v>
      </c>
      <c r="BU31" s="2">
        <f t="shared" si="12"/>
        <v>0</v>
      </c>
      <c r="BV31" s="2">
        <f t="shared" si="23"/>
        <v>0</v>
      </c>
      <c r="BW31" s="2">
        <f t="shared" si="23"/>
        <v>0</v>
      </c>
      <c r="BX31" s="2">
        <f t="shared" si="23"/>
        <v>0</v>
      </c>
      <c r="BY31" s="2">
        <f t="shared" si="9"/>
        <v>0</v>
      </c>
      <c r="CB31" s="21"/>
      <c r="CC31" s="2">
        <v>65</v>
      </c>
      <c r="CD31" s="3">
        <f t="shared" si="21"/>
        <v>1.5625E-2</v>
      </c>
      <c r="CE31" s="3">
        <f t="shared" si="21"/>
        <v>1.5625E-2</v>
      </c>
      <c r="CF31" s="3">
        <f t="shared" si="21"/>
        <v>1.5625E-2</v>
      </c>
      <c r="CG31" s="3">
        <f t="shared" si="21"/>
        <v>3.125E-2</v>
      </c>
      <c r="CH31" s="3">
        <f t="shared" si="21"/>
        <v>3.125E-2</v>
      </c>
      <c r="CI31" s="3">
        <f t="shared" si="21"/>
        <v>3.125E-2</v>
      </c>
      <c r="CJ31" s="3">
        <f t="shared" si="21"/>
        <v>1.5625E-2</v>
      </c>
      <c r="CK31" s="3">
        <f t="shared" si="21"/>
        <v>4.6875E-2</v>
      </c>
      <c r="CL31" s="3">
        <f t="shared" si="21"/>
        <v>1.5625E-2</v>
      </c>
      <c r="CM31" s="3">
        <f t="shared" si="21"/>
        <v>3.125E-2</v>
      </c>
      <c r="CN31" s="3">
        <f t="shared" si="21"/>
        <v>3.125E-2</v>
      </c>
      <c r="CO31" s="3">
        <f t="shared" si="21"/>
        <v>1.5625E-2</v>
      </c>
      <c r="CP31" s="3">
        <f t="shared" si="21"/>
        <v>3.125E-2</v>
      </c>
      <c r="CQ31" s="3">
        <f t="shared" si="21"/>
        <v>3.125E-2</v>
      </c>
      <c r="CR31" s="3">
        <f t="shared" si="21"/>
        <v>1.5625E-2</v>
      </c>
      <c r="CS31" s="3">
        <f t="shared" si="21"/>
        <v>4.6875E-2</v>
      </c>
      <c r="CT31" s="3">
        <f t="shared" si="18"/>
        <v>3.125E-2</v>
      </c>
      <c r="CU31" s="3">
        <f t="shared" si="18"/>
        <v>1.5625E-2</v>
      </c>
      <c r="CV31" s="3">
        <f t="shared" si="18"/>
        <v>3.125E-2</v>
      </c>
      <c r="CW31" s="3">
        <f t="shared" si="18"/>
        <v>1.5625E-2</v>
      </c>
      <c r="CX31" s="3">
        <f t="shared" si="18"/>
        <v>1.5625E-2</v>
      </c>
      <c r="CY31" s="3">
        <f t="shared" si="18"/>
        <v>3.125E-2</v>
      </c>
      <c r="CZ31" s="3">
        <f t="shared" si="18"/>
        <v>1.5625E-2</v>
      </c>
      <c r="DA31" s="3">
        <f t="shared" si="18"/>
        <v>1.5625E-2</v>
      </c>
      <c r="DB31" s="3">
        <f t="shared" si="18"/>
        <v>4.6875E-2</v>
      </c>
      <c r="DC31" s="3">
        <f t="shared" si="19"/>
        <v>1.5625E-2</v>
      </c>
      <c r="DD31" s="3">
        <f t="shared" si="19"/>
        <v>4.6875E-2</v>
      </c>
      <c r="DE31" s="3">
        <f t="shared" si="19"/>
        <v>3.125E-2</v>
      </c>
      <c r="DF31" s="3">
        <f t="shared" si="19"/>
        <v>1.5625E-2</v>
      </c>
      <c r="DG31" s="3">
        <f t="shared" si="19"/>
        <v>1.5625E-2</v>
      </c>
      <c r="DH31" s="3">
        <f t="shared" si="19"/>
        <v>4.6875E-2</v>
      </c>
      <c r="DI31" s="3">
        <f t="shared" si="19"/>
        <v>3.125E-2</v>
      </c>
      <c r="DJ31" s="3">
        <f t="shared" si="19"/>
        <v>1.5625E-2</v>
      </c>
      <c r="DK31" s="3">
        <f t="shared" si="19"/>
        <v>1.5625E-2</v>
      </c>
      <c r="DL31" s="3">
        <f t="shared" si="19"/>
        <v>1.5625E-2</v>
      </c>
      <c r="DM31" s="3">
        <f t="shared" si="19"/>
        <v>3.125E-2</v>
      </c>
      <c r="DN31" s="3">
        <f t="shared" si="19"/>
        <v>1.5625E-2</v>
      </c>
      <c r="DO31" s="3">
        <f t="shared" si="19"/>
        <v>1.5625E-2</v>
      </c>
      <c r="DP31" s="3">
        <f t="shared" si="19"/>
        <v>1.5625E-2</v>
      </c>
      <c r="DQ31" s="3">
        <f t="shared" si="19"/>
        <v>1.5625E-2</v>
      </c>
      <c r="DR31" s="3">
        <f t="shared" si="19"/>
        <v>1.5625E-2</v>
      </c>
      <c r="DS31" s="2">
        <v>1</v>
      </c>
    </row>
    <row r="32" spans="1:123" x14ac:dyDescent="0.3">
      <c r="A32" s="2">
        <v>47</v>
      </c>
      <c r="B32" s="4">
        <v>6</v>
      </c>
      <c r="C32" s="6">
        <v>25</v>
      </c>
      <c r="D32" s="21"/>
      <c r="E32" s="2">
        <v>71</v>
      </c>
      <c r="F32" s="2">
        <f t="shared" si="6"/>
        <v>0</v>
      </c>
      <c r="G32" s="2">
        <f t="shared" si="6"/>
        <v>0</v>
      </c>
      <c r="H32" s="2">
        <f t="shared" si="6"/>
        <v>0</v>
      </c>
      <c r="I32" s="2">
        <f t="shared" si="6"/>
        <v>0</v>
      </c>
      <c r="J32" s="2">
        <f t="shared" si="6"/>
        <v>0</v>
      </c>
      <c r="K32" s="2">
        <f t="shared" si="6"/>
        <v>0</v>
      </c>
      <c r="L32" s="2">
        <f t="shared" si="6"/>
        <v>0</v>
      </c>
      <c r="M32" s="2">
        <f t="shared" si="6"/>
        <v>0</v>
      </c>
      <c r="N32" s="2">
        <f t="shared" si="6"/>
        <v>0</v>
      </c>
      <c r="O32" s="2">
        <f t="shared" si="6"/>
        <v>0</v>
      </c>
      <c r="P32" s="2">
        <f t="shared" si="1"/>
        <v>0</v>
      </c>
      <c r="R32" s="21"/>
      <c r="S32" s="2">
        <v>51</v>
      </c>
      <c r="T32" s="2">
        <f t="shared" si="7"/>
        <v>0.17199999999999999</v>
      </c>
      <c r="U32" s="2">
        <f t="shared" si="7"/>
        <v>9.4E-2</v>
      </c>
      <c r="V32" s="2">
        <f t="shared" si="7"/>
        <v>7.8E-2</v>
      </c>
      <c r="W32" s="2">
        <f t="shared" si="7"/>
        <v>0.125</v>
      </c>
      <c r="X32" s="2">
        <f t="shared" si="7"/>
        <v>7.8E-2</v>
      </c>
      <c r="Y32" s="2">
        <f t="shared" si="7"/>
        <v>7.8E-2</v>
      </c>
      <c r="Z32" s="2">
        <f t="shared" si="7"/>
        <v>6.3E-2</v>
      </c>
      <c r="AA32" s="2">
        <f t="shared" si="7"/>
        <v>7.8E-2</v>
      </c>
      <c r="AB32" s="2">
        <f t="shared" si="7"/>
        <v>0.109</v>
      </c>
      <c r="AC32" s="2">
        <f t="shared" si="7"/>
        <v>0.125</v>
      </c>
      <c r="AD32" s="2">
        <v>1</v>
      </c>
      <c r="AH32" s="21"/>
      <c r="AI32" s="2">
        <v>51</v>
      </c>
      <c r="AJ32" s="2">
        <f t="shared" si="20"/>
        <v>0</v>
      </c>
      <c r="AK32" s="2">
        <f t="shared" si="20"/>
        <v>0</v>
      </c>
      <c r="AL32" s="2">
        <f t="shared" si="20"/>
        <v>0</v>
      </c>
      <c r="AM32" s="2">
        <f t="shared" si="20"/>
        <v>0</v>
      </c>
      <c r="AN32" s="2">
        <f t="shared" si="20"/>
        <v>0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0</v>
      </c>
      <c r="AS32" s="2">
        <f t="shared" si="20"/>
        <v>0</v>
      </c>
      <c r="AT32" s="2">
        <f t="shared" si="20"/>
        <v>0</v>
      </c>
      <c r="AU32" s="2">
        <f t="shared" si="20"/>
        <v>0</v>
      </c>
      <c r="AV32" s="2">
        <f t="shared" si="20"/>
        <v>0</v>
      </c>
      <c r="AW32" s="2">
        <f t="shared" si="20"/>
        <v>0</v>
      </c>
      <c r="AX32" s="2">
        <f t="shared" si="20"/>
        <v>0</v>
      </c>
      <c r="AY32" s="2">
        <f t="shared" si="20"/>
        <v>0</v>
      </c>
      <c r="AZ32" s="2">
        <f t="shared" si="17"/>
        <v>0</v>
      </c>
      <c r="BA32" s="2">
        <f t="shared" si="17"/>
        <v>0</v>
      </c>
      <c r="BB32" s="2">
        <f t="shared" si="17"/>
        <v>0</v>
      </c>
      <c r="BC32" s="2">
        <f t="shared" si="17"/>
        <v>0</v>
      </c>
      <c r="BD32" s="2">
        <f t="shared" si="17"/>
        <v>0</v>
      </c>
      <c r="BE32" s="2">
        <f t="shared" si="17"/>
        <v>0</v>
      </c>
      <c r="BF32" s="2">
        <f t="shared" si="17"/>
        <v>0</v>
      </c>
      <c r="BG32" s="2">
        <f t="shared" si="17"/>
        <v>0</v>
      </c>
      <c r="BH32" s="2">
        <f t="shared" si="17"/>
        <v>0</v>
      </c>
      <c r="BI32" s="2">
        <f t="shared" si="23"/>
        <v>0</v>
      </c>
      <c r="BJ32" s="2">
        <f t="shared" si="23"/>
        <v>0</v>
      </c>
      <c r="BK32" s="2">
        <f t="shared" si="23"/>
        <v>0</v>
      </c>
      <c r="BL32" s="2">
        <f t="shared" si="23"/>
        <v>0</v>
      </c>
      <c r="BM32" s="2">
        <f t="shared" si="23"/>
        <v>0</v>
      </c>
      <c r="BN32" s="2">
        <f t="shared" si="23"/>
        <v>0</v>
      </c>
      <c r="BO32" s="2">
        <f t="shared" si="23"/>
        <v>0</v>
      </c>
      <c r="BP32" s="2">
        <f t="shared" si="23"/>
        <v>0</v>
      </c>
      <c r="BQ32" s="2">
        <f t="shared" si="23"/>
        <v>0</v>
      </c>
      <c r="BR32" s="2">
        <f t="shared" si="23"/>
        <v>0</v>
      </c>
      <c r="BS32" s="2">
        <f t="shared" si="23"/>
        <v>0</v>
      </c>
      <c r="BT32" s="2">
        <f t="shared" si="23"/>
        <v>0</v>
      </c>
      <c r="BU32" s="2">
        <f t="shared" si="12"/>
        <v>0</v>
      </c>
      <c r="BV32" s="2">
        <f t="shared" si="23"/>
        <v>0</v>
      </c>
      <c r="BW32" s="2">
        <f t="shared" si="23"/>
        <v>0</v>
      </c>
      <c r="BX32" s="2">
        <f t="shared" si="23"/>
        <v>0</v>
      </c>
      <c r="BY32" s="2">
        <f t="shared" si="9"/>
        <v>0</v>
      </c>
      <c r="CB32" s="21"/>
      <c r="CC32" s="2">
        <v>51</v>
      </c>
      <c r="CD32" s="3">
        <f t="shared" si="21"/>
        <v>1.5625E-2</v>
      </c>
      <c r="CE32" s="3">
        <f t="shared" si="21"/>
        <v>1.5625E-2</v>
      </c>
      <c r="CF32" s="3">
        <f t="shared" si="21"/>
        <v>1.5625E-2</v>
      </c>
      <c r="CG32" s="3">
        <f t="shared" si="21"/>
        <v>3.125E-2</v>
      </c>
      <c r="CH32" s="3">
        <f t="shared" si="21"/>
        <v>3.125E-2</v>
      </c>
      <c r="CI32" s="3">
        <f t="shared" si="21"/>
        <v>3.125E-2</v>
      </c>
      <c r="CJ32" s="3">
        <f t="shared" si="21"/>
        <v>1.5625E-2</v>
      </c>
      <c r="CK32" s="3">
        <f t="shared" si="21"/>
        <v>4.6875E-2</v>
      </c>
      <c r="CL32" s="3">
        <f t="shared" si="21"/>
        <v>1.5625E-2</v>
      </c>
      <c r="CM32" s="3">
        <f t="shared" si="21"/>
        <v>3.125E-2</v>
      </c>
      <c r="CN32" s="3">
        <f t="shared" si="21"/>
        <v>3.125E-2</v>
      </c>
      <c r="CO32" s="3">
        <f t="shared" si="21"/>
        <v>1.5625E-2</v>
      </c>
      <c r="CP32" s="3">
        <f t="shared" si="21"/>
        <v>3.125E-2</v>
      </c>
      <c r="CQ32" s="3">
        <f t="shared" si="21"/>
        <v>3.125E-2</v>
      </c>
      <c r="CR32" s="3">
        <f t="shared" si="21"/>
        <v>1.5625E-2</v>
      </c>
      <c r="CS32" s="3">
        <f t="shared" si="21"/>
        <v>4.6875E-2</v>
      </c>
      <c r="CT32" s="3">
        <f t="shared" si="18"/>
        <v>3.125E-2</v>
      </c>
      <c r="CU32" s="3">
        <f t="shared" si="18"/>
        <v>1.5625E-2</v>
      </c>
      <c r="CV32" s="3">
        <f t="shared" si="18"/>
        <v>3.125E-2</v>
      </c>
      <c r="CW32" s="3">
        <f t="shared" si="18"/>
        <v>1.5625E-2</v>
      </c>
      <c r="CX32" s="3">
        <f t="shared" si="18"/>
        <v>1.5625E-2</v>
      </c>
      <c r="CY32" s="3">
        <f t="shared" si="18"/>
        <v>3.125E-2</v>
      </c>
      <c r="CZ32" s="3">
        <f t="shared" si="18"/>
        <v>1.5625E-2</v>
      </c>
      <c r="DA32" s="3">
        <f t="shared" si="18"/>
        <v>1.5625E-2</v>
      </c>
      <c r="DB32" s="3">
        <f t="shared" si="18"/>
        <v>4.6875E-2</v>
      </c>
      <c r="DC32" s="3">
        <f t="shared" si="19"/>
        <v>1.5625E-2</v>
      </c>
      <c r="DD32" s="3">
        <f t="shared" si="19"/>
        <v>4.6875E-2</v>
      </c>
      <c r="DE32" s="3">
        <f t="shared" si="19"/>
        <v>3.125E-2</v>
      </c>
      <c r="DF32" s="3">
        <f t="shared" si="19"/>
        <v>1.5625E-2</v>
      </c>
      <c r="DG32" s="3">
        <f t="shared" si="19"/>
        <v>1.5625E-2</v>
      </c>
      <c r="DH32" s="3">
        <f t="shared" si="19"/>
        <v>4.6875E-2</v>
      </c>
      <c r="DI32" s="3">
        <f t="shared" si="19"/>
        <v>3.125E-2</v>
      </c>
      <c r="DJ32" s="3">
        <f t="shared" si="19"/>
        <v>1.5625E-2</v>
      </c>
      <c r="DK32" s="3">
        <f t="shared" si="19"/>
        <v>1.5625E-2</v>
      </c>
      <c r="DL32" s="3">
        <f t="shared" si="19"/>
        <v>1.5625E-2</v>
      </c>
      <c r="DM32" s="3">
        <f t="shared" si="19"/>
        <v>3.125E-2</v>
      </c>
      <c r="DN32" s="3">
        <f t="shared" si="19"/>
        <v>1.5625E-2</v>
      </c>
      <c r="DO32" s="3">
        <f t="shared" si="19"/>
        <v>1.5625E-2</v>
      </c>
      <c r="DP32" s="3">
        <f t="shared" si="19"/>
        <v>1.5625E-2</v>
      </c>
      <c r="DQ32" s="3">
        <f t="shared" si="19"/>
        <v>1.5625E-2</v>
      </c>
      <c r="DR32" s="3">
        <f t="shared" si="19"/>
        <v>1.5625E-2</v>
      </c>
      <c r="DS32" s="2">
        <v>1</v>
      </c>
    </row>
    <row r="33" spans="1:123" x14ac:dyDescent="0.3">
      <c r="A33" s="2">
        <v>61</v>
      </c>
      <c r="B33" s="4">
        <v>9</v>
      </c>
      <c r="C33" s="6">
        <v>72</v>
      </c>
      <c r="D33" s="21"/>
      <c r="E33" s="2">
        <v>86</v>
      </c>
      <c r="F33" s="2">
        <f t="shared" si="6"/>
        <v>0</v>
      </c>
      <c r="G33" s="2">
        <f t="shared" si="6"/>
        <v>0</v>
      </c>
      <c r="H33" s="2">
        <f t="shared" si="6"/>
        <v>0</v>
      </c>
      <c r="I33" s="2">
        <f t="shared" si="6"/>
        <v>1</v>
      </c>
      <c r="J33" s="2">
        <f t="shared" si="6"/>
        <v>0</v>
      </c>
      <c r="K33" s="2">
        <f t="shared" si="6"/>
        <v>0</v>
      </c>
      <c r="L33" s="2">
        <f t="shared" si="6"/>
        <v>0</v>
      </c>
      <c r="M33" s="2">
        <f t="shared" si="6"/>
        <v>0</v>
      </c>
      <c r="N33" s="2">
        <f t="shared" si="6"/>
        <v>0</v>
      </c>
      <c r="O33" s="2">
        <f t="shared" si="6"/>
        <v>0</v>
      </c>
      <c r="P33" s="2">
        <f t="shared" si="1"/>
        <v>1</v>
      </c>
      <c r="R33" s="21"/>
      <c r="S33" s="2">
        <v>69</v>
      </c>
      <c r="T33" s="2">
        <f t="shared" si="7"/>
        <v>0.17199999999999999</v>
      </c>
      <c r="U33" s="2">
        <f t="shared" si="7"/>
        <v>9.4E-2</v>
      </c>
      <c r="V33" s="2">
        <f t="shared" si="7"/>
        <v>7.8E-2</v>
      </c>
      <c r="W33" s="2">
        <f t="shared" si="7"/>
        <v>0.125</v>
      </c>
      <c r="X33" s="2">
        <f t="shared" si="7"/>
        <v>7.8E-2</v>
      </c>
      <c r="Y33" s="2">
        <f t="shared" si="7"/>
        <v>7.8E-2</v>
      </c>
      <c r="Z33" s="2">
        <f t="shared" si="7"/>
        <v>6.3E-2</v>
      </c>
      <c r="AA33" s="2">
        <f t="shared" si="7"/>
        <v>7.8E-2</v>
      </c>
      <c r="AB33" s="2">
        <f t="shared" si="7"/>
        <v>0.109</v>
      </c>
      <c r="AC33" s="2">
        <f t="shared" si="7"/>
        <v>0.125</v>
      </c>
      <c r="AD33" s="2">
        <v>1</v>
      </c>
      <c r="AH33" s="21"/>
      <c r="AI33" s="2">
        <v>69</v>
      </c>
      <c r="AJ33" s="2">
        <f t="shared" si="20"/>
        <v>0</v>
      </c>
      <c r="AK33" s="2">
        <f t="shared" si="20"/>
        <v>0</v>
      </c>
      <c r="AL33" s="2">
        <f t="shared" si="20"/>
        <v>0</v>
      </c>
      <c r="AM33" s="2">
        <f t="shared" si="20"/>
        <v>0</v>
      </c>
      <c r="AN33" s="2">
        <f t="shared" si="20"/>
        <v>0</v>
      </c>
      <c r="AO33" s="2">
        <f t="shared" si="20"/>
        <v>0</v>
      </c>
      <c r="AP33" s="2">
        <f t="shared" si="20"/>
        <v>0</v>
      </c>
      <c r="AQ33" s="2">
        <f t="shared" si="20"/>
        <v>0</v>
      </c>
      <c r="AR33" s="2">
        <f t="shared" si="20"/>
        <v>0</v>
      </c>
      <c r="AS33" s="2">
        <f t="shared" si="20"/>
        <v>0</v>
      </c>
      <c r="AT33" s="2">
        <f t="shared" si="20"/>
        <v>0</v>
      </c>
      <c r="AU33" s="2">
        <f t="shared" si="20"/>
        <v>0</v>
      </c>
      <c r="AV33" s="2">
        <f t="shared" si="20"/>
        <v>0</v>
      </c>
      <c r="AW33" s="2">
        <f t="shared" si="20"/>
        <v>0</v>
      </c>
      <c r="AX33" s="2">
        <f t="shared" si="20"/>
        <v>0</v>
      </c>
      <c r="AY33" s="2">
        <f t="shared" si="20"/>
        <v>0</v>
      </c>
      <c r="AZ33" s="2">
        <f t="shared" si="17"/>
        <v>0</v>
      </c>
      <c r="BA33" s="2">
        <f t="shared" si="17"/>
        <v>0</v>
      </c>
      <c r="BB33" s="2">
        <f t="shared" si="17"/>
        <v>0</v>
      </c>
      <c r="BC33" s="2">
        <f t="shared" si="17"/>
        <v>0</v>
      </c>
      <c r="BD33" s="2">
        <f t="shared" si="17"/>
        <v>0</v>
      </c>
      <c r="BE33" s="2">
        <f t="shared" si="17"/>
        <v>0</v>
      </c>
      <c r="BF33" s="2">
        <f t="shared" si="17"/>
        <v>0</v>
      </c>
      <c r="BG33" s="2">
        <f t="shared" si="17"/>
        <v>0</v>
      </c>
      <c r="BH33" s="2">
        <f t="shared" si="17"/>
        <v>0</v>
      </c>
      <c r="BI33" s="2">
        <f t="shared" si="23"/>
        <v>0</v>
      </c>
      <c r="BJ33" s="2">
        <f t="shared" si="23"/>
        <v>0</v>
      </c>
      <c r="BK33" s="2">
        <f t="shared" si="23"/>
        <v>0</v>
      </c>
      <c r="BL33" s="2">
        <f t="shared" si="23"/>
        <v>0</v>
      </c>
      <c r="BM33" s="2">
        <f t="shared" si="23"/>
        <v>0</v>
      </c>
      <c r="BN33" s="2">
        <f t="shared" si="23"/>
        <v>0</v>
      </c>
      <c r="BO33" s="2">
        <f t="shared" si="23"/>
        <v>0</v>
      </c>
      <c r="BP33" s="2">
        <f t="shared" si="23"/>
        <v>0</v>
      </c>
      <c r="BQ33" s="2">
        <f t="shared" si="23"/>
        <v>0</v>
      </c>
      <c r="BR33" s="2">
        <f t="shared" si="23"/>
        <v>0</v>
      </c>
      <c r="BS33" s="2">
        <f t="shared" si="23"/>
        <v>0</v>
      </c>
      <c r="BT33" s="2">
        <f t="shared" si="23"/>
        <v>0</v>
      </c>
      <c r="BU33" s="2">
        <f t="shared" si="12"/>
        <v>0</v>
      </c>
      <c r="BV33" s="2">
        <f t="shared" si="23"/>
        <v>0</v>
      </c>
      <c r="BW33" s="2">
        <f t="shared" si="23"/>
        <v>0</v>
      </c>
      <c r="BX33" s="2">
        <f t="shared" si="23"/>
        <v>0</v>
      </c>
      <c r="BY33" s="2">
        <f t="shared" si="9"/>
        <v>0</v>
      </c>
      <c r="CB33" s="21"/>
      <c r="CC33" s="2">
        <v>69</v>
      </c>
      <c r="CD33" s="3">
        <f t="shared" si="21"/>
        <v>1.5625E-2</v>
      </c>
      <c r="CE33" s="3">
        <f t="shared" si="21"/>
        <v>1.5625E-2</v>
      </c>
      <c r="CF33" s="3">
        <f t="shared" si="21"/>
        <v>1.5625E-2</v>
      </c>
      <c r="CG33" s="3">
        <f t="shared" si="21"/>
        <v>3.125E-2</v>
      </c>
      <c r="CH33" s="3">
        <f t="shared" si="21"/>
        <v>3.125E-2</v>
      </c>
      <c r="CI33" s="3">
        <f t="shared" si="21"/>
        <v>3.125E-2</v>
      </c>
      <c r="CJ33" s="3">
        <f t="shared" si="21"/>
        <v>1.5625E-2</v>
      </c>
      <c r="CK33" s="3">
        <f t="shared" si="21"/>
        <v>4.6875E-2</v>
      </c>
      <c r="CL33" s="3">
        <f t="shared" si="21"/>
        <v>1.5625E-2</v>
      </c>
      <c r="CM33" s="3">
        <f t="shared" si="21"/>
        <v>3.125E-2</v>
      </c>
      <c r="CN33" s="3">
        <f t="shared" si="21"/>
        <v>3.125E-2</v>
      </c>
      <c r="CO33" s="3">
        <f t="shared" si="21"/>
        <v>1.5625E-2</v>
      </c>
      <c r="CP33" s="3">
        <f t="shared" si="21"/>
        <v>3.125E-2</v>
      </c>
      <c r="CQ33" s="3">
        <f t="shared" si="21"/>
        <v>3.125E-2</v>
      </c>
      <c r="CR33" s="3">
        <f t="shared" si="21"/>
        <v>1.5625E-2</v>
      </c>
      <c r="CS33" s="3">
        <f t="shared" si="21"/>
        <v>4.6875E-2</v>
      </c>
      <c r="CT33" s="3">
        <f t="shared" si="18"/>
        <v>3.125E-2</v>
      </c>
      <c r="CU33" s="3">
        <f t="shared" si="18"/>
        <v>1.5625E-2</v>
      </c>
      <c r="CV33" s="3">
        <f t="shared" si="18"/>
        <v>3.125E-2</v>
      </c>
      <c r="CW33" s="3">
        <f t="shared" si="18"/>
        <v>1.5625E-2</v>
      </c>
      <c r="CX33" s="3">
        <f t="shared" si="18"/>
        <v>1.5625E-2</v>
      </c>
      <c r="CY33" s="3">
        <f t="shared" si="18"/>
        <v>3.125E-2</v>
      </c>
      <c r="CZ33" s="3">
        <f t="shared" si="18"/>
        <v>1.5625E-2</v>
      </c>
      <c r="DA33" s="3">
        <f t="shared" si="18"/>
        <v>1.5625E-2</v>
      </c>
      <c r="DB33" s="3">
        <f t="shared" si="18"/>
        <v>4.6875E-2</v>
      </c>
      <c r="DC33" s="3">
        <f t="shared" si="19"/>
        <v>1.5625E-2</v>
      </c>
      <c r="DD33" s="3">
        <f t="shared" si="19"/>
        <v>4.6875E-2</v>
      </c>
      <c r="DE33" s="3">
        <f t="shared" si="19"/>
        <v>3.125E-2</v>
      </c>
      <c r="DF33" s="3">
        <f t="shared" si="19"/>
        <v>1.5625E-2</v>
      </c>
      <c r="DG33" s="3">
        <f t="shared" si="19"/>
        <v>1.5625E-2</v>
      </c>
      <c r="DH33" s="3">
        <f t="shared" si="19"/>
        <v>4.6875E-2</v>
      </c>
      <c r="DI33" s="3">
        <f t="shared" si="19"/>
        <v>3.125E-2</v>
      </c>
      <c r="DJ33" s="3">
        <f t="shared" si="19"/>
        <v>1.5625E-2</v>
      </c>
      <c r="DK33" s="3">
        <f t="shared" si="19"/>
        <v>1.5625E-2</v>
      </c>
      <c r="DL33" s="3">
        <f t="shared" si="19"/>
        <v>1.5625E-2</v>
      </c>
      <c r="DM33" s="3">
        <f t="shared" si="19"/>
        <v>3.125E-2</v>
      </c>
      <c r="DN33" s="3">
        <f t="shared" si="19"/>
        <v>1.5625E-2</v>
      </c>
      <c r="DO33" s="3">
        <f t="shared" si="19"/>
        <v>1.5625E-2</v>
      </c>
      <c r="DP33" s="3">
        <f t="shared" si="19"/>
        <v>1.5625E-2</v>
      </c>
      <c r="DQ33" s="3">
        <f t="shared" si="19"/>
        <v>1.5625E-2</v>
      </c>
      <c r="DR33" s="3">
        <f t="shared" si="19"/>
        <v>1.5625E-2</v>
      </c>
      <c r="DS33" s="2">
        <v>1</v>
      </c>
    </row>
    <row r="34" spans="1:123" x14ac:dyDescent="0.3">
      <c r="A34" s="2">
        <v>44</v>
      </c>
      <c r="B34" s="4">
        <v>20</v>
      </c>
      <c r="C34" s="6">
        <v>47</v>
      </c>
      <c r="D34" s="21"/>
      <c r="E34" s="2">
        <v>59</v>
      </c>
      <c r="F34" s="2">
        <f t="shared" si="6"/>
        <v>0</v>
      </c>
      <c r="G34" s="2">
        <f t="shared" si="6"/>
        <v>1</v>
      </c>
      <c r="H34" s="2">
        <f t="shared" si="6"/>
        <v>0</v>
      </c>
      <c r="I34" s="2">
        <f t="shared" si="6"/>
        <v>0</v>
      </c>
      <c r="J34" s="2">
        <f t="shared" si="6"/>
        <v>0</v>
      </c>
      <c r="K34" s="2">
        <f t="shared" si="6"/>
        <v>0</v>
      </c>
      <c r="L34" s="2">
        <f t="shared" si="6"/>
        <v>0</v>
      </c>
      <c r="M34" s="2">
        <f t="shared" si="6"/>
        <v>1</v>
      </c>
      <c r="N34" s="2">
        <f t="shared" si="6"/>
        <v>1</v>
      </c>
      <c r="O34" s="2">
        <f t="shared" si="6"/>
        <v>0</v>
      </c>
      <c r="P34" s="2">
        <f t="shared" si="1"/>
        <v>3</v>
      </c>
      <c r="R34" s="21"/>
      <c r="S34" s="2">
        <v>36</v>
      </c>
      <c r="T34" s="2">
        <f t="shared" si="7"/>
        <v>0.34399999999999997</v>
      </c>
      <c r="U34" s="2">
        <f t="shared" si="7"/>
        <v>0.188</v>
      </c>
      <c r="V34" s="2">
        <f t="shared" si="7"/>
        <v>0.156</v>
      </c>
      <c r="W34" s="2">
        <f t="shared" si="7"/>
        <v>0.25</v>
      </c>
      <c r="X34" s="2">
        <f t="shared" si="7"/>
        <v>0.156</v>
      </c>
      <c r="Y34" s="2">
        <f t="shared" si="7"/>
        <v>0.156</v>
      </c>
      <c r="Z34" s="2">
        <f t="shared" si="7"/>
        <v>0.125</v>
      </c>
      <c r="AA34" s="2">
        <f t="shared" si="7"/>
        <v>0.156</v>
      </c>
      <c r="AB34" s="2">
        <f t="shared" si="7"/>
        <v>0.219</v>
      </c>
      <c r="AC34" s="2">
        <f t="shared" si="7"/>
        <v>0.25</v>
      </c>
      <c r="AD34" s="2">
        <v>2</v>
      </c>
      <c r="AH34" s="21"/>
      <c r="AI34" s="2">
        <v>36</v>
      </c>
      <c r="AJ34" s="2">
        <f t="shared" si="20"/>
        <v>0</v>
      </c>
      <c r="AK34" s="2">
        <f t="shared" si="20"/>
        <v>0</v>
      </c>
      <c r="AL34" s="2">
        <f t="shared" si="20"/>
        <v>0</v>
      </c>
      <c r="AM34" s="2">
        <f t="shared" si="20"/>
        <v>0</v>
      </c>
      <c r="AN34" s="2">
        <f t="shared" si="20"/>
        <v>0</v>
      </c>
      <c r="AO34" s="2">
        <f t="shared" si="20"/>
        <v>1</v>
      </c>
      <c r="AP34" s="2">
        <f t="shared" si="20"/>
        <v>0</v>
      </c>
      <c r="AQ34" s="2">
        <f t="shared" si="20"/>
        <v>0</v>
      </c>
      <c r="AR34" s="2">
        <f t="shared" si="20"/>
        <v>0</v>
      </c>
      <c r="AS34" s="2">
        <f t="shared" si="20"/>
        <v>0</v>
      </c>
      <c r="AT34" s="2">
        <f t="shared" si="20"/>
        <v>0</v>
      </c>
      <c r="AU34" s="2">
        <f t="shared" si="20"/>
        <v>0</v>
      </c>
      <c r="AV34" s="2">
        <f t="shared" si="20"/>
        <v>0</v>
      </c>
      <c r="AW34" s="2">
        <f t="shared" si="20"/>
        <v>0</v>
      </c>
      <c r="AX34" s="2">
        <f t="shared" si="20"/>
        <v>0</v>
      </c>
      <c r="AY34" s="2">
        <f t="shared" si="20"/>
        <v>0</v>
      </c>
      <c r="AZ34" s="2">
        <f t="shared" si="17"/>
        <v>0</v>
      </c>
      <c r="BA34" s="2">
        <f t="shared" si="17"/>
        <v>0</v>
      </c>
      <c r="BB34" s="2">
        <f t="shared" si="17"/>
        <v>0</v>
      </c>
      <c r="BC34" s="2">
        <f t="shared" si="17"/>
        <v>0</v>
      </c>
      <c r="BD34" s="2">
        <f t="shared" si="17"/>
        <v>0</v>
      </c>
      <c r="BE34" s="2">
        <f t="shared" si="17"/>
        <v>0</v>
      </c>
      <c r="BF34" s="2">
        <f t="shared" si="17"/>
        <v>0</v>
      </c>
      <c r="BG34" s="2">
        <f t="shared" si="17"/>
        <v>0</v>
      </c>
      <c r="BH34" s="2">
        <f t="shared" si="17"/>
        <v>0</v>
      </c>
      <c r="BI34" s="2">
        <f t="shared" si="23"/>
        <v>0</v>
      </c>
      <c r="BJ34" s="2">
        <f t="shared" si="23"/>
        <v>0</v>
      </c>
      <c r="BK34" s="2">
        <f t="shared" si="23"/>
        <v>0</v>
      </c>
      <c r="BL34" s="2">
        <f t="shared" si="23"/>
        <v>0</v>
      </c>
      <c r="BM34" s="2">
        <f t="shared" si="23"/>
        <v>0</v>
      </c>
      <c r="BN34" s="2">
        <f t="shared" si="23"/>
        <v>0</v>
      </c>
      <c r="BO34" s="2">
        <f t="shared" si="23"/>
        <v>0</v>
      </c>
      <c r="BP34" s="2">
        <f t="shared" si="23"/>
        <v>0</v>
      </c>
      <c r="BQ34" s="2">
        <f t="shared" si="23"/>
        <v>0</v>
      </c>
      <c r="BR34" s="2">
        <f t="shared" si="23"/>
        <v>0</v>
      </c>
      <c r="BS34" s="2">
        <f t="shared" si="23"/>
        <v>0</v>
      </c>
      <c r="BT34" s="2">
        <f t="shared" si="23"/>
        <v>0</v>
      </c>
      <c r="BU34" s="2">
        <f t="shared" si="12"/>
        <v>0</v>
      </c>
      <c r="BV34" s="2">
        <f t="shared" si="23"/>
        <v>0</v>
      </c>
      <c r="BW34" s="2">
        <f t="shared" si="23"/>
        <v>0</v>
      </c>
      <c r="BX34" s="2">
        <f t="shared" si="23"/>
        <v>0</v>
      </c>
      <c r="BY34" s="2">
        <f t="shared" si="9"/>
        <v>1</v>
      </c>
      <c r="CB34" s="21"/>
      <c r="CC34" s="2">
        <v>36</v>
      </c>
      <c r="CD34" s="3">
        <f t="shared" si="21"/>
        <v>3.125E-2</v>
      </c>
      <c r="CE34" s="3">
        <f t="shared" si="21"/>
        <v>3.125E-2</v>
      </c>
      <c r="CF34" s="3">
        <f t="shared" si="21"/>
        <v>3.125E-2</v>
      </c>
      <c r="CG34" s="3">
        <f t="shared" si="21"/>
        <v>6.25E-2</v>
      </c>
      <c r="CH34" s="3">
        <f t="shared" si="21"/>
        <v>6.25E-2</v>
      </c>
      <c r="CI34" s="3">
        <f t="shared" si="21"/>
        <v>6.25E-2</v>
      </c>
      <c r="CJ34" s="3">
        <f t="shared" si="21"/>
        <v>3.125E-2</v>
      </c>
      <c r="CK34" s="3">
        <f t="shared" si="21"/>
        <v>9.375E-2</v>
      </c>
      <c r="CL34" s="3">
        <f t="shared" si="21"/>
        <v>3.125E-2</v>
      </c>
      <c r="CM34" s="3">
        <f t="shared" si="21"/>
        <v>6.25E-2</v>
      </c>
      <c r="CN34" s="3">
        <f t="shared" si="21"/>
        <v>6.25E-2</v>
      </c>
      <c r="CO34" s="3">
        <f t="shared" si="21"/>
        <v>3.125E-2</v>
      </c>
      <c r="CP34" s="3">
        <f t="shared" si="21"/>
        <v>6.25E-2</v>
      </c>
      <c r="CQ34" s="3">
        <f t="shared" si="21"/>
        <v>6.25E-2</v>
      </c>
      <c r="CR34" s="3">
        <f t="shared" si="21"/>
        <v>3.125E-2</v>
      </c>
      <c r="CS34" s="3">
        <f t="shared" si="21"/>
        <v>9.375E-2</v>
      </c>
      <c r="CT34" s="3">
        <f t="shared" si="18"/>
        <v>6.25E-2</v>
      </c>
      <c r="CU34" s="3">
        <f t="shared" si="18"/>
        <v>3.125E-2</v>
      </c>
      <c r="CV34" s="3">
        <f t="shared" si="18"/>
        <v>6.25E-2</v>
      </c>
      <c r="CW34" s="3">
        <f t="shared" si="18"/>
        <v>3.125E-2</v>
      </c>
      <c r="CX34" s="3">
        <f t="shared" si="18"/>
        <v>3.125E-2</v>
      </c>
      <c r="CY34" s="3">
        <f t="shared" si="18"/>
        <v>6.25E-2</v>
      </c>
      <c r="CZ34" s="3">
        <f t="shared" si="18"/>
        <v>3.125E-2</v>
      </c>
      <c r="DA34" s="3">
        <f t="shared" si="18"/>
        <v>3.125E-2</v>
      </c>
      <c r="DB34" s="3">
        <f t="shared" si="18"/>
        <v>9.375E-2</v>
      </c>
      <c r="DC34" s="3">
        <f t="shared" si="19"/>
        <v>3.125E-2</v>
      </c>
      <c r="DD34" s="3">
        <f t="shared" si="19"/>
        <v>9.375E-2</v>
      </c>
      <c r="DE34" s="3">
        <f t="shared" si="19"/>
        <v>6.25E-2</v>
      </c>
      <c r="DF34" s="3">
        <f t="shared" si="19"/>
        <v>3.125E-2</v>
      </c>
      <c r="DG34" s="3">
        <f t="shared" si="19"/>
        <v>3.125E-2</v>
      </c>
      <c r="DH34" s="3">
        <f t="shared" si="19"/>
        <v>9.375E-2</v>
      </c>
      <c r="DI34" s="3">
        <f t="shared" si="19"/>
        <v>6.25E-2</v>
      </c>
      <c r="DJ34" s="3">
        <f t="shared" si="19"/>
        <v>3.125E-2</v>
      </c>
      <c r="DK34" s="3">
        <f t="shared" si="19"/>
        <v>3.125E-2</v>
      </c>
      <c r="DL34" s="3">
        <f t="shared" si="19"/>
        <v>3.125E-2</v>
      </c>
      <c r="DM34" s="3">
        <f t="shared" si="19"/>
        <v>6.25E-2</v>
      </c>
      <c r="DN34" s="3">
        <f t="shared" si="19"/>
        <v>3.125E-2</v>
      </c>
      <c r="DO34" s="3">
        <f t="shared" si="19"/>
        <v>3.125E-2</v>
      </c>
      <c r="DP34" s="3">
        <f t="shared" si="19"/>
        <v>3.125E-2</v>
      </c>
      <c r="DQ34" s="3">
        <f t="shared" si="19"/>
        <v>3.125E-2</v>
      </c>
      <c r="DR34" s="3">
        <f t="shared" si="19"/>
        <v>3.125E-2</v>
      </c>
      <c r="DS34" s="2">
        <v>2</v>
      </c>
    </row>
    <row r="35" spans="1:123" x14ac:dyDescent="0.3">
      <c r="A35" s="2">
        <v>78</v>
      </c>
      <c r="B35" s="4">
        <v>17</v>
      </c>
      <c r="C35" s="6">
        <v>41</v>
      </c>
      <c r="D35" s="21"/>
      <c r="E35" s="2">
        <v>41</v>
      </c>
      <c r="F35" s="2">
        <f t="shared" si="6"/>
        <v>0</v>
      </c>
      <c r="G35" s="2">
        <f t="shared" si="6"/>
        <v>0</v>
      </c>
      <c r="H35" s="2">
        <f t="shared" si="6"/>
        <v>0</v>
      </c>
      <c r="I35" s="2">
        <f t="shared" si="6"/>
        <v>0</v>
      </c>
      <c r="J35" s="2">
        <f t="shared" si="6"/>
        <v>0</v>
      </c>
      <c r="K35" s="2">
        <f t="shared" si="6"/>
        <v>0</v>
      </c>
      <c r="L35" s="2">
        <f t="shared" si="6"/>
        <v>0</v>
      </c>
      <c r="M35" s="2">
        <f t="shared" si="6"/>
        <v>0</v>
      </c>
      <c r="N35" s="2">
        <f t="shared" si="6"/>
        <v>0</v>
      </c>
      <c r="O35" s="2">
        <f t="shared" si="6"/>
        <v>0</v>
      </c>
      <c r="P35" s="2">
        <f t="shared" si="1"/>
        <v>0</v>
      </c>
      <c r="R35" s="21"/>
      <c r="S35" s="2">
        <v>76</v>
      </c>
      <c r="T35" s="2">
        <f t="shared" si="7"/>
        <v>0.34399999999999997</v>
      </c>
      <c r="U35" s="2">
        <f t="shared" si="7"/>
        <v>0.188</v>
      </c>
      <c r="V35" s="2">
        <f t="shared" si="7"/>
        <v>0.156</v>
      </c>
      <c r="W35" s="2">
        <f t="shared" si="7"/>
        <v>0.25</v>
      </c>
      <c r="X35" s="2">
        <f t="shared" si="7"/>
        <v>0.156</v>
      </c>
      <c r="Y35" s="2">
        <f t="shared" si="7"/>
        <v>0.156</v>
      </c>
      <c r="Z35" s="2">
        <f t="shared" si="7"/>
        <v>0.125</v>
      </c>
      <c r="AA35" s="2">
        <f t="shared" si="7"/>
        <v>0.156</v>
      </c>
      <c r="AB35" s="2">
        <f t="shared" si="7"/>
        <v>0.219</v>
      </c>
      <c r="AC35" s="2">
        <f t="shared" si="7"/>
        <v>0.25</v>
      </c>
      <c r="AD35" s="2">
        <v>2</v>
      </c>
      <c r="AH35" s="21"/>
      <c r="AI35" s="2">
        <v>76</v>
      </c>
      <c r="AJ35" s="2">
        <f t="shared" si="20"/>
        <v>0</v>
      </c>
      <c r="AK35" s="2">
        <f t="shared" si="20"/>
        <v>0</v>
      </c>
      <c r="AL35" s="2">
        <f t="shared" si="20"/>
        <v>0</v>
      </c>
      <c r="AM35" s="2">
        <f t="shared" si="20"/>
        <v>0</v>
      </c>
      <c r="AN35" s="2">
        <f t="shared" si="20"/>
        <v>0</v>
      </c>
      <c r="AO35" s="2">
        <f t="shared" si="20"/>
        <v>0</v>
      </c>
      <c r="AP35" s="2">
        <f t="shared" si="20"/>
        <v>0</v>
      </c>
      <c r="AQ35" s="2">
        <f t="shared" si="20"/>
        <v>0</v>
      </c>
      <c r="AR35" s="2">
        <f t="shared" si="20"/>
        <v>0</v>
      </c>
      <c r="AS35" s="2">
        <f t="shared" si="20"/>
        <v>0</v>
      </c>
      <c r="AT35" s="2">
        <f t="shared" si="20"/>
        <v>0</v>
      </c>
      <c r="AU35" s="2">
        <f t="shared" si="20"/>
        <v>0</v>
      </c>
      <c r="AV35" s="2">
        <f t="shared" si="20"/>
        <v>0</v>
      </c>
      <c r="AW35" s="2">
        <f t="shared" si="20"/>
        <v>0</v>
      </c>
      <c r="AX35" s="2">
        <f t="shared" si="20"/>
        <v>0</v>
      </c>
      <c r="AY35" s="2">
        <f t="shared" si="20"/>
        <v>0</v>
      </c>
      <c r="AZ35" s="2">
        <f t="shared" si="17"/>
        <v>0</v>
      </c>
      <c r="BA35" s="2">
        <f t="shared" si="17"/>
        <v>0</v>
      </c>
      <c r="BB35" s="2">
        <f t="shared" si="17"/>
        <v>0</v>
      </c>
      <c r="BC35" s="2">
        <f t="shared" si="17"/>
        <v>0</v>
      </c>
      <c r="BD35" s="2">
        <f t="shared" si="17"/>
        <v>0</v>
      </c>
      <c r="BE35" s="2">
        <f t="shared" si="17"/>
        <v>1</v>
      </c>
      <c r="BF35" s="2">
        <f t="shared" si="17"/>
        <v>0</v>
      </c>
      <c r="BG35" s="2">
        <f t="shared" si="17"/>
        <v>0</v>
      </c>
      <c r="BH35" s="2">
        <f t="shared" si="17"/>
        <v>0</v>
      </c>
      <c r="BI35" s="2">
        <f t="shared" si="23"/>
        <v>0</v>
      </c>
      <c r="BJ35" s="2">
        <f t="shared" si="23"/>
        <v>0</v>
      </c>
      <c r="BK35" s="2">
        <f t="shared" si="23"/>
        <v>0</v>
      </c>
      <c r="BL35" s="2">
        <f t="shared" si="23"/>
        <v>0</v>
      </c>
      <c r="BM35" s="2">
        <f t="shared" si="23"/>
        <v>0</v>
      </c>
      <c r="BN35" s="2">
        <f t="shared" si="23"/>
        <v>0</v>
      </c>
      <c r="BO35" s="2">
        <f t="shared" si="23"/>
        <v>0</v>
      </c>
      <c r="BP35" s="2">
        <f t="shared" si="23"/>
        <v>0</v>
      </c>
      <c r="BQ35" s="2">
        <f t="shared" si="23"/>
        <v>0</v>
      </c>
      <c r="BR35" s="2">
        <f t="shared" si="23"/>
        <v>0</v>
      </c>
      <c r="BS35" s="2">
        <f t="shared" si="23"/>
        <v>0</v>
      </c>
      <c r="BT35" s="2">
        <f t="shared" si="23"/>
        <v>0</v>
      </c>
      <c r="BU35" s="2">
        <f t="shared" si="12"/>
        <v>0</v>
      </c>
      <c r="BV35" s="2">
        <f t="shared" si="23"/>
        <v>0</v>
      </c>
      <c r="BW35" s="2">
        <f t="shared" si="23"/>
        <v>0</v>
      </c>
      <c r="BX35" s="2">
        <f t="shared" si="23"/>
        <v>0</v>
      </c>
      <c r="BY35" s="2">
        <f t="shared" si="9"/>
        <v>1</v>
      </c>
      <c r="CB35" s="21"/>
      <c r="CC35" s="2">
        <v>76</v>
      </c>
      <c r="CD35" s="3">
        <f t="shared" si="21"/>
        <v>3.125E-2</v>
      </c>
      <c r="CE35" s="3">
        <f t="shared" si="21"/>
        <v>3.125E-2</v>
      </c>
      <c r="CF35" s="3">
        <f t="shared" si="21"/>
        <v>3.125E-2</v>
      </c>
      <c r="CG35" s="3">
        <f t="shared" si="21"/>
        <v>6.25E-2</v>
      </c>
      <c r="CH35" s="3">
        <f t="shared" si="21"/>
        <v>6.25E-2</v>
      </c>
      <c r="CI35" s="3">
        <f t="shared" si="21"/>
        <v>6.25E-2</v>
      </c>
      <c r="CJ35" s="3">
        <f t="shared" si="21"/>
        <v>3.125E-2</v>
      </c>
      <c r="CK35" s="3">
        <f t="shared" si="21"/>
        <v>9.375E-2</v>
      </c>
      <c r="CL35" s="3">
        <f t="shared" si="21"/>
        <v>3.125E-2</v>
      </c>
      <c r="CM35" s="3">
        <f t="shared" si="21"/>
        <v>6.25E-2</v>
      </c>
      <c r="CN35" s="3">
        <f t="shared" si="21"/>
        <v>6.25E-2</v>
      </c>
      <c r="CO35" s="3">
        <f t="shared" si="21"/>
        <v>3.125E-2</v>
      </c>
      <c r="CP35" s="3">
        <f t="shared" si="21"/>
        <v>6.25E-2</v>
      </c>
      <c r="CQ35" s="3">
        <f t="shared" si="21"/>
        <v>6.25E-2</v>
      </c>
      <c r="CR35" s="3">
        <f t="shared" si="21"/>
        <v>3.125E-2</v>
      </c>
      <c r="CS35" s="3">
        <f t="shared" si="21"/>
        <v>9.375E-2</v>
      </c>
      <c r="CT35" s="3">
        <f t="shared" si="18"/>
        <v>6.25E-2</v>
      </c>
      <c r="CU35" s="3">
        <f t="shared" si="18"/>
        <v>3.125E-2</v>
      </c>
      <c r="CV35" s="3">
        <f t="shared" si="18"/>
        <v>6.25E-2</v>
      </c>
      <c r="CW35" s="3">
        <f t="shared" si="18"/>
        <v>3.125E-2</v>
      </c>
      <c r="CX35" s="3">
        <f t="shared" si="18"/>
        <v>3.125E-2</v>
      </c>
      <c r="CY35" s="3">
        <f t="shared" si="18"/>
        <v>6.25E-2</v>
      </c>
      <c r="CZ35" s="3">
        <f t="shared" si="18"/>
        <v>3.125E-2</v>
      </c>
      <c r="DA35" s="3">
        <f t="shared" si="18"/>
        <v>3.125E-2</v>
      </c>
      <c r="DB35" s="3">
        <f t="shared" si="18"/>
        <v>9.375E-2</v>
      </c>
      <c r="DC35" s="3">
        <f t="shared" si="19"/>
        <v>3.125E-2</v>
      </c>
      <c r="DD35" s="3">
        <f t="shared" si="19"/>
        <v>9.375E-2</v>
      </c>
      <c r="DE35" s="3">
        <f t="shared" si="19"/>
        <v>6.25E-2</v>
      </c>
      <c r="DF35" s="3">
        <f t="shared" si="19"/>
        <v>3.125E-2</v>
      </c>
      <c r="DG35" s="3">
        <f t="shared" si="19"/>
        <v>3.125E-2</v>
      </c>
      <c r="DH35" s="3">
        <f t="shared" si="19"/>
        <v>9.375E-2</v>
      </c>
      <c r="DI35" s="3">
        <f t="shared" si="19"/>
        <v>6.25E-2</v>
      </c>
      <c r="DJ35" s="3">
        <f t="shared" si="19"/>
        <v>3.125E-2</v>
      </c>
      <c r="DK35" s="3">
        <f t="shared" si="19"/>
        <v>3.125E-2</v>
      </c>
      <c r="DL35" s="3">
        <f t="shared" si="19"/>
        <v>3.125E-2</v>
      </c>
      <c r="DM35" s="3">
        <f t="shared" si="19"/>
        <v>6.25E-2</v>
      </c>
      <c r="DN35" s="3">
        <f t="shared" si="19"/>
        <v>3.125E-2</v>
      </c>
      <c r="DO35" s="3">
        <f t="shared" si="19"/>
        <v>3.125E-2</v>
      </c>
      <c r="DP35" s="3">
        <f t="shared" si="19"/>
        <v>3.125E-2</v>
      </c>
      <c r="DQ35" s="3">
        <f t="shared" si="19"/>
        <v>3.125E-2</v>
      </c>
      <c r="DR35" s="3">
        <f t="shared" si="19"/>
        <v>3.125E-2</v>
      </c>
      <c r="DS35" s="2">
        <v>2</v>
      </c>
    </row>
    <row r="36" spans="1:123" x14ac:dyDescent="0.3">
      <c r="A36" s="2">
        <v>45</v>
      </c>
      <c r="B36" s="4">
        <v>3</v>
      </c>
      <c r="C36" s="6">
        <v>21</v>
      </c>
      <c r="D36" s="21"/>
      <c r="E36" s="2">
        <v>39</v>
      </c>
      <c r="F36" s="2">
        <f t="shared" si="6"/>
        <v>0</v>
      </c>
      <c r="G36" s="2">
        <f t="shared" si="6"/>
        <v>0</v>
      </c>
      <c r="H36" s="2">
        <f t="shared" si="6"/>
        <v>0</v>
      </c>
      <c r="I36" s="2">
        <f t="shared" si="6"/>
        <v>0</v>
      </c>
      <c r="J36" s="2">
        <f t="shared" si="6"/>
        <v>0</v>
      </c>
      <c r="K36" s="2">
        <f t="shared" si="6"/>
        <v>0</v>
      </c>
      <c r="L36" s="2">
        <f t="shared" si="6"/>
        <v>0</v>
      </c>
      <c r="M36" s="2">
        <f t="shared" si="6"/>
        <v>0</v>
      </c>
      <c r="N36" s="2">
        <f t="shared" si="6"/>
        <v>0</v>
      </c>
      <c r="O36" s="2">
        <f t="shared" si="6"/>
        <v>0</v>
      </c>
      <c r="P36" s="2">
        <f t="shared" si="1"/>
        <v>0</v>
      </c>
      <c r="R36" s="21"/>
      <c r="S36" s="2">
        <v>61</v>
      </c>
      <c r="T36" s="2">
        <f t="shared" si="7"/>
        <v>0.34399999999999997</v>
      </c>
      <c r="U36" s="2">
        <f t="shared" si="7"/>
        <v>0.188</v>
      </c>
      <c r="V36" s="2">
        <f t="shared" si="7"/>
        <v>0.156</v>
      </c>
      <c r="W36" s="2">
        <f t="shared" si="7"/>
        <v>0.25</v>
      </c>
      <c r="X36" s="2">
        <f t="shared" si="7"/>
        <v>0.156</v>
      </c>
      <c r="Y36" s="2">
        <f t="shared" si="7"/>
        <v>0.156</v>
      </c>
      <c r="Z36" s="2">
        <f t="shared" si="7"/>
        <v>0.125</v>
      </c>
      <c r="AA36" s="2">
        <f t="shared" si="7"/>
        <v>0.156</v>
      </c>
      <c r="AB36" s="2">
        <f t="shared" si="7"/>
        <v>0.219</v>
      </c>
      <c r="AC36" s="2">
        <f t="shared" si="7"/>
        <v>0.25</v>
      </c>
      <c r="AD36" s="2">
        <v>2</v>
      </c>
      <c r="AH36" s="21"/>
      <c r="AI36" s="2">
        <v>61</v>
      </c>
      <c r="AJ36" s="2">
        <f t="shared" si="20"/>
        <v>0</v>
      </c>
      <c r="AK36" s="2">
        <f t="shared" si="20"/>
        <v>0</v>
      </c>
      <c r="AL36" s="2">
        <f t="shared" si="20"/>
        <v>0</v>
      </c>
      <c r="AM36" s="2">
        <f t="shared" si="20"/>
        <v>0</v>
      </c>
      <c r="AN36" s="2">
        <f t="shared" si="20"/>
        <v>0</v>
      </c>
      <c r="AO36" s="2">
        <f t="shared" si="20"/>
        <v>0</v>
      </c>
      <c r="AP36" s="2">
        <f t="shared" si="20"/>
        <v>0</v>
      </c>
      <c r="AQ36" s="2">
        <f t="shared" si="20"/>
        <v>0</v>
      </c>
      <c r="AR36" s="2">
        <f t="shared" si="20"/>
        <v>0</v>
      </c>
      <c r="AS36" s="2">
        <f t="shared" si="20"/>
        <v>0</v>
      </c>
      <c r="AT36" s="2">
        <f t="shared" si="20"/>
        <v>0</v>
      </c>
      <c r="AU36" s="2">
        <f t="shared" si="20"/>
        <v>0</v>
      </c>
      <c r="AV36" s="2">
        <f t="shared" si="20"/>
        <v>0</v>
      </c>
      <c r="AW36" s="2">
        <f t="shared" si="20"/>
        <v>0</v>
      </c>
      <c r="AX36" s="2">
        <f t="shared" si="20"/>
        <v>0</v>
      </c>
      <c r="AY36" s="2">
        <f t="shared" si="20"/>
        <v>0</v>
      </c>
      <c r="AZ36" s="2">
        <f t="shared" si="17"/>
        <v>0</v>
      </c>
      <c r="BA36" s="2">
        <f t="shared" si="17"/>
        <v>0</v>
      </c>
      <c r="BB36" s="2">
        <f t="shared" si="17"/>
        <v>0</v>
      </c>
      <c r="BC36" s="2">
        <f t="shared" si="17"/>
        <v>0</v>
      </c>
      <c r="BD36" s="2">
        <f t="shared" si="17"/>
        <v>0</v>
      </c>
      <c r="BE36" s="2">
        <f t="shared" si="17"/>
        <v>0</v>
      </c>
      <c r="BF36" s="2">
        <f t="shared" si="17"/>
        <v>0</v>
      </c>
      <c r="BG36" s="2">
        <f t="shared" si="17"/>
        <v>0</v>
      </c>
      <c r="BH36" s="2">
        <f t="shared" si="17"/>
        <v>1</v>
      </c>
      <c r="BI36" s="2">
        <f t="shared" si="23"/>
        <v>1</v>
      </c>
      <c r="BJ36" s="2">
        <f t="shared" si="23"/>
        <v>0</v>
      </c>
      <c r="BK36" s="2">
        <f t="shared" si="23"/>
        <v>0</v>
      </c>
      <c r="BL36" s="2">
        <f t="shared" si="23"/>
        <v>0</v>
      </c>
      <c r="BM36" s="2">
        <f t="shared" si="23"/>
        <v>0</v>
      </c>
      <c r="BN36" s="2">
        <f t="shared" si="23"/>
        <v>0</v>
      </c>
      <c r="BO36" s="2">
        <f t="shared" si="23"/>
        <v>0</v>
      </c>
      <c r="BP36" s="2">
        <f t="shared" si="23"/>
        <v>1</v>
      </c>
      <c r="BQ36" s="2">
        <f t="shared" si="23"/>
        <v>0</v>
      </c>
      <c r="BR36" s="2">
        <f t="shared" si="23"/>
        <v>0</v>
      </c>
      <c r="BS36" s="2">
        <f t="shared" si="23"/>
        <v>0</v>
      </c>
      <c r="BT36" s="2">
        <f t="shared" si="23"/>
        <v>0</v>
      </c>
      <c r="BU36" s="2">
        <f t="shared" si="12"/>
        <v>0</v>
      </c>
      <c r="BV36" s="2">
        <f t="shared" si="23"/>
        <v>0</v>
      </c>
      <c r="BW36" s="2">
        <f t="shared" si="23"/>
        <v>0</v>
      </c>
      <c r="BX36" s="2">
        <f t="shared" si="23"/>
        <v>0</v>
      </c>
      <c r="BY36" s="2">
        <f t="shared" si="9"/>
        <v>3</v>
      </c>
      <c r="CB36" s="21"/>
      <c r="CC36" s="2">
        <v>61</v>
      </c>
      <c r="CD36" s="3">
        <f t="shared" si="21"/>
        <v>3.125E-2</v>
      </c>
      <c r="CE36" s="3">
        <f t="shared" si="21"/>
        <v>3.125E-2</v>
      </c>
      <c r="CF36" s="3">
        <f t="shared" si="21"/>
        <v>3.125E-2</v>
      </c>
      <c r="CG36" s="3">
        <f t="shared" si="21"/>
        <v>6.25E-2</v>
      </c>
      <c r="CH36" s="3">
        <f t="shared" si="21"/>
        <v>6.25E-2</v>
      </c>
      <c r="CI36" s="3">
        <f t="shared" si="21"/>
        <v>6.25E-2</v>
      </c>
      <c r="CJ36" s="3">
        <f t="shared" si="21"/>
        <v>3.125E-2</v>
      </c>
      <c r="CK36" s="3">
        <f t="shared" si="21"/>
        <v>9.375E-2</v>
      </c>
      <c r="CL36" s="3">
        <f t="shared" si="21"/>
        <v>3.125E-2</v>
      </c>
      <c r="CM36" s="3">
        <f t="shared" si="21"/>
        <v>6.25E-2</v>
      </c>
      <c r="CN36" s="3">
        <f t="shared" si="21"/>
        <v>6.25E-2</v>
      </c>
      <c r="CO36" s="3">
        <f t="shared" si="21"/>
        <v>3.125E-2</v>
      </c>
      <c r="CP36" s="3">
        <f t="shared" si="21"/>
        <v>6.25E-2</v>
      </c>
      <c r="CQ36" s="3">
        <f t="shared" si="21"/>
        <v>6.25E-2</v>
      </c>
      <c r="CR36" s="3">
        <f t="shared" si="21"/>
        <v>3.125E-2</v>
      </c>
      <c r="CS36" s="3">
        <f t="shared" si="21"/>
        <v>9.375E-2</v>
      </c>
      <c r="CT36" s="3">
        <f t="shared" si="18"/>
        <v>6.25E-2</v>
      </c>
      <c r="CU36" s="3">
        <f t="shared" si="18"/>
        <v>3.125E-2</v>
      </c>
      <c r="CV36" s="3">
        <f t="shared" si="18"/>
        <v>6.25E-2</v>
      </c>
      <c r="CW36" s="3">
        <f t="shared" si="18"/>
        <v>3.125E-2</v>
      </c>
      <c r="CX36" s="3">
        <f t="shared" si="18"/>
        <v>3.125E-2</v>
      </c>
      <c r="CY36" s="3">
        <f t="shared" si="18"/>
        <v>6.25E-2</v>
      </c>
      <c r="CZ36" s="3">
        <f t="shared" si="18"/>
        <v>3.125E-2</v>
      </c>
      <c r="DA36" s="3">
        <f t="shared" si="18"/>
        <v>3.125E-2</v>
      </c>
      <c r="DB36" s="3">
        <f t="shared" si="18"/>
        <v>9.375E-2</v>
      </c>
      <c r="DC36" s="3">
        <f t="shared" si="19"/>
        <v>3.125E-2</v>
      </c>
      <c r="DD36" s="3">
        <f t="shared" si="19"/>
        <v>9.375E-2</v>
      </c>
      <c r="DE36" s="3">
        <f t="shared" si="19"/>
        <v>6.25E-2</v>
      </c>
      <c r="DF36" s="3">
        <f t="shared" si="19"/>
        <v>3.125E-2</v>
      </c>
      <c r="DG36" s="3">
        <f t="shared" si="19"/>
        <v>3.125E-2</v>
      </c>
      <c r="DH36" s="3">
        <f t="shared" si="19"/>
        <v>9.375E-2</v>
      </c>
      <c r="DI36" s="3">
        <f t="shared" si="19"/>
        <v>6.25E-2</v>
      </c>
      <c r="DJ36" s="3">
        <f t="shared" si="19"/>
        <v>3.125E-2</v>
      </c>
      <c r="DK36" s="3">
        <f t="shared" si="19"/>
        <v>3.125E-2</v>
      </c>
      <c r="DL36" s="3">
        <f t="shared" si="19"/>
        <v>3.125E-2</v>
      </c>
      <c r="DM36" s="3">
        <f t="shared" si="19"/>
        <v>6.25E-2</v>
      </c>
      <c r="DN36" s="3">
        <f t="shared" si="19"/>
        <v>3.125E-2</v>
      </c>
      <c r="DO36" s="3">
        <f t="shared" si="19"/>
        <v>3.125E-2</v>
      </c>
      <c r="DP36" s="3">
        <f t="shared" si="19"/>
        <v>3.125E-2</v>
      </c>
      <c r="DQ36" s="3">
        <f t="shared" si="19"/>
        <v>3.125E-2</v>
      </c>
      <c r="DR36" s="3">
        <f t="shared" si="19"/>
        <v>3.125E-2</v>
      </c>
      <c r="DS36" s="2">
        <v>2</v>
      </c>
    </row>
    <row r="37" spans="1:123" x14ac:dyDescent="0.3">
      <c r="A37" s="2">
        <v>62</v>
      </c>
      <c r="B37" s="4">
        <v>8</v>
      </c>
      <c r="C37" s="6">
        <v>70</v>
      </c>
      <c r="D37" s="21"/>
      <c r="E37" s="2">
        <v>58</v>
      </c>
      <c r="F37" s="2">
        <f t="shared" ref="F37:O46" si="24">COUNTIFS($A$2:$A$65,$E37,$B$2:$B$65,F$3)</f>
        <v>0</v>
      </c>
      <c r="G37" s="2">
        <f t="shared" si="24"/>
        <v>0</v>
      </c>
      <c r="H37" s="2">
        <f t="shared" si="24"/>
        <v>0</v>
      </c>
      <c r="I37" s="2">
        <f t="shared" si="24"/>
        <v>0</v>
      </c>
      <c r="J37" s="2">
        <f t="shared" si="24"/>
        <v>0</v>
      </c>
      <c r="K37" s="2">
        <f t="shared" si="24"/>
        <v>0</v>
      </c>
      <c r="L37" s="2">
        <f t="shared" si="24"/>
        <v>0</v>
      </c>
      <c r="M37" s="2">
        <f t="shared" si="24"/>
        <v>0</v>
      </c>
      <c r="N37" s="2">
        <f t="shared" si="24"/>
        <v>0</v>
      </c>
      <c r="O37" s="2">
        <f t="shared" si="24"/>
        <v>0</v>
      </c>
      <c r="P37" s="2">
        <f t="shared" si="1"/>
        <v>0</v>
      </c>
      <c r="R37" s="21"/>
      <c r="S37" s="2">
        <v>44</v>
      </c>
      <c r="T37" s="2">
        <f t="shared" si="7"/>
        <v>0.17199999999999999</v>
      </c>
      <c r="U37" s="2">
        <f t="shared" si="7"/>
        <v>9.4E-2</v>
      </c>
      <c r="V37" s="2">
        <f t="shared" si="7"/>
        <v>7.8E-2</v>
      </c>
      <c r="W37" s="2">
        <f t="shared" si="7"/>
        <v>0.125</v>
      </c>
      <c r="X37" s="2">
        <f t="shared" si="7"/>
        <v>7.8E-2</v>
      </c>
      <c r="Y37" s="2">
        <f t="shared" si="7"/>
        <v>7.8E-2</v>
      </c>
      <c r="Z37" s="2">
        <f t="shared" si="7"/>
        <v>6.3E-2</v>
      </c>
      <c r="AA37" s="2">
        <f t="shared" si="7"/>
        <v>7.8E-2</v>
      </c>
      <c r="AB37" s="2">
        <f t="shared" si="7"/>
        <v>0.109</v>
      </c>
      <c r="AC37" s="2">
        <f t="shared" si="7"/>
        <v>0.125</v>
      </c>
      <c r="AD37" s="2">
        <v>1</v>
      </c>
      <c r="AH37" s="21"/>
      <c r="AI37" s="2">
        <v>44</v>
      </c>
      <c r="AJ37" s="2">
        <f t="shared" si="20"/>
        <v>0</v>
      </c>
      <c r="AK37" s="2">
        <f t="shared" si="20"/>
        <v>0</v>
      </c>
      <c r="AL37" s="2">
        <f t="shared" si="20"/>
        <v>0</v>
      </c>
      <c r="AM37" s="2">
        <f t="shared" si="20"/>
        <v>0</v>
      </c>
      <c r="AN37" s="2">
        <f t="shared" si="20"/>
        <v>0</v>
      </c>
      <c r="AO37" s="2">
        <f t="shared" si="20"/>
        <v>0</v>
      </c>
      <c r="AP37" s="2">
        <f t="shared" si="20"/>
        <v>0</v>
      </c>
      <c r="AQ37" s="2">
        <f t="shared" si="20"/>
        <v>0</v>
      </c>
      <c r="AR37" s="2">
        <f t="shared" si="20"/>
        <v>0</v>
      </c>
      <c r="AS37" s="2">
        <f t="shared" si="20"/>
        <v>0</v>
      </c>
      <c r="AT37" s="2">
        <f t="shared" si="20"/>
        <v>0</v>
      </c>
      <c r="AU37" s="2">
        <f t="shared" si="20"/>
        <v>0</v>
      </c>
      <c r="AV37" s="2">
        <f t="shared" si="20"/>
        <v>0</v>
      </c>
      <c r="AW37" s="2">
        <f t="shared" si="20"/>
        <v>0</v>
      </c>
      <c r="AX37" s="2">
        <f t="shared" si="20"/>
        <v>0</v>
      </c>
      <c r="AY37" s="2">
        <f t="shared" si="20"/>
        <v>0</v>
      </c>
      <c r="AZ37" s="2">
        <f t="shared" si="17"/>
        <v>0</v>
      </c>
      <c r="BA37" s="2">
        <f t="shared" si="17"/>
        <v>0</v>
      </c>
      <c r="BB37" s="2">
        <f t="shared" si="17"/>
        <v>0</v>
      </c>
      <c r="BC37" s="2">
        <f t="shared" si="17"/>
        <v>0</v>
      </c>
      <c r="BD37" s="2">
        <f t="shared" si="17"/>
        <v>0</v>
      </c>
      <c r="BE37" s="2">
        <f t="shared" si="17"/>
        <v>0</v>
      </c>
      <c r="BF37" s="2">
        <f t="shared" si="17"/>
        <v>0</v>
      </c>
      <c r="BG37" s="2">
        <f t="shared" si="17"/>
        <v>0</v>
      </c>
      <c r="BH37" s="2">
        <f t="shared" si="17"/>
        <v>0</v>
      </c>
      <c r="BI37" s="2">
        <f t="shared" si="23"/>
        <v>0</v>
      </c>
      <c r="BJ37" s="2">
        <f t="shared" si="23"/>
        <v>1</v>
      </c>
      <c r="BK37" s="2">
        <f t="shared" si="23"/>
        <v>0</v>
      </c>
      <c r="BL37" s="2">
        <f t="shared" si="23"/>
        <v>0</v>
      </c>
      <c r="BM37" s="2">
        <f t="shared" si="23"/>
        <v>1</v>
      </c>
      <c r="BN37" s="2">
        <f t="shared" si="23"/>
        <v>0</v>
      </c>
      <c r="BO37" s="2">
        <f t="shared" si="23"/>
        <v>0</v>
      </c>
      <c r="BP37" s="2">
        <f t="shared" si="23"/>
        <v>0</v>
      </c>
      <c r="BQ37" s="2">
        <f t="shared" si="23"/>
        <v>0</v>
      </c>
      <c r="BR37" s="2">
        <f t="shared" si="23"/>
        <v>0</v>
      </c>
      <c r="BS37" s="2">
        <f t="shared" si="23"/>
        <v>0</v>
      </c>
      <c r="BT37" s="2">
        <f t="shared" si="23"/>
        <v>0</v>
      </c>
      <c r="BU37" s="2">
        <f t="shared" si="12"/>
        <v>0</v>
      </c>
      <c r="BV37" s="2">
        <f t="shared" si="23"/>
        <v>0</v>
      </c>
      <c r="BW37" s="2">
        <f t="shared" si="23"/>
        <v>0</v>
      </c>
      <c r="BX37" s="2">
        <f t="shared" si="23"/>
        <v>0</v>
      </c>
      <c r="BY37" s="2">
        <f t="shared" si="9"/>
        <v>2</v>
      </c>
      <c r="CB37" s="21"/>
      <c r="CC37" s="2">
        <v>44</v>
      </c>
      <c r="CD37" s="3">
        <f t="shared" si="21"/>
        <v>1.5625E-2</v>
      </c>
      <c r="CE37" s="3">
        <f t="shared" si="21"/>
        <v>1.5625E-2</v>
      </c>
      <c r="CF37" s="3">
        <f t="shared" si="21"/>
        <v>1.5625E-2</v>
      </c>
      <c r="CG37" s="3">
        <f t="shared" si="21"/>
        <v>3.125E-2</v>
      </c>
      <c r="CH37" s="3">
        <f t="shared" si="21"/>
        <v>3.125E-2</v>
      </c>
      <c r="CI37" s="3">
        <f t="shared" si="21"/>
        <v>3.125E-2</v>
      </c>
      <c r="CJ37" s="3">
        <f t="shared" si="21"/>
        <v>1.5625E-2</v>
      </c>
      <c r="CK37" s="3">
        <f t="shared" si="21"/>
        <v>4.6875E-2</v>
      </c>
      <c r="CL37" s="3">
        <f t="shared" si="21"/>
        <v>1.5625E-2</v>
      </c>
      <c r="CM37" s="3">
        <f t="shared" si="21"/>
        <v>3.125E-2</v>
      </c>
      <c r="CN37" s="3">
        <f t="shared" si="21"/>
        <v>3.125E-2</v>
      </c>
      <c r="CO37" s="3">
        <f t="shared" si="21"/>
        <v>1.5625E-2</v>
      </c>
      <c r="CP37" s="3">
        <f t="shared" si="21"/>
        <v>3.125E-2</v>
      </c>
      <c r="CQ37" s="3">
        <f t="shared" si="21"/>
        <v>3.125E-2</v>
      </c>
      <c r="CR37" s="3">
        <f t="shared" si="21"/>
        <v>1.5625E-2</v>
      </c>
      <c r="CS37" s="3">
        <f t="shared" si="21"/>
        <v>4.6875E-2</v>
      </c>
      <c r="CT37" s="3">
        <f t="shared" si="18"/>
        <v>3.125E-2</v>
      </c>
      <c r="CU37" s="3">
        <f t="shared" si="18"/>
        <v>1.5625E-2</v>
      </c>
      <c r="CV37" s="3">
        <f t="shared" si="18"/>
        <v>3.125E-2</v>
      </c>
      <c r="CW37" s="3">
        <f t="shared" si="18"/>
        <v>1.5625E-2</v>
      </c>
      <c r="CX37" s="3">
        <f t="shared" si="18"/>
        <v>1.5625E-2</v>
      </c>
      <c r="CY37" s="3">
        <f t="shared" si="18"/>
        <v>3.125E-2</v>
      </c>
      <c r="CZ37" s="3">
        <f t="shared" si="18"/>
        <v>1.5625E-2</v>
      </c>
      <c r="DA37" s="3">
        <f t="shared" si="18"/>
        <v>1.5625E-2</v>
      </c>
      <c r="DB37" s="3">
        <f t="shared" si="18"/>
        <v>4.6875E-2</v>
      </c>
      <c r="DC37" s="3">
        <f t="shared" si="19"/>
        <v>1.5625E-2</v>
      </c>
      <c r="DD37" s="3">
        <f t="shared" si="19"/>
        <v>4.6875E-2</v>
      </c>
      <c r="DE37" s="3">
        <f t="shared" si="19"/>
        <v>3.125E-2</v>
      </c>
      <c r="DF37" s="3">
        <f t="shared" si="19"/>
        <v>1.5625E-2</v>
      </c>
      <c r="DG37" s="3">
        <f t="shared" si="19"/>
        <v>1.5625E-2</v>
      </c>
      <c r="DH37" s="3">
        <f t="shared" si="19"/>
        <v>4.6875E-2</v>
      </c>
      <c r="DI37" s="3">
        <f t="shared" si="19"/>
        <v>3.125E-2</v>
      </c>
      <c r="DJ37" s="3">
        <f t="shared" si="19"/>
        <v>1.5625E-2</v>
      </c>
      <c r="DK37" s="3">
        <f t="shared" si="19"/>
        <v>1.5625E-2</v>
      </c>
      <c r="DL37" s="3">
        <f t="shared" si="19"/>
        <v>1.5625E-2</v>
      </c>
      <c r="DM37" s="3">
        <f t="shared" si="19"/>
        <v>3.125E-2</v>
      </c>
      <c r="DN37" s="3">
        <f t="shared" si="19"/>
        <v>1.5625E-2</v>
      </c>
      <c r="DO37" s="3">
        <f t="shared" si="19"/>
        <v>1.5625E-2</v>
      </c>
      <c r="DP37" s="3">
        <f t="shared" si="19"/>
        <v>1.5625E-2</v>
      </c>
      <c r="DQ37" s="3">
        <f t="shared" si="19"/>
        <v>1.5625E-2</v>
      </c>
      <c r="DR37" s="3">
        <f t="shared" si="19"/>
        <v>1.5625E-2</v>
      </c>
      <c r="DS37" s="2">
        <v>1</v>
      </c>
    </row>
    <row r="38" spans="1:123" x14ac:dyDescent="0.3">
      <c r="A38" s="2">
        <v>71</v>
      </c>
      <c r="B38" s="4">
        <v>19</v>
      </c>
      <c r="C38" s="6">
        <v>63</v>
      </c>
      <c r="D38" s="21"/>
      <c r="E38" s="2">
        <v>90</v>
      </c>
      <c r="F38" s="2">
        <f t="shared" si="24"/>
        <v>0</v>
      </c>
      <c r="G38" s="2">
        <f t="shared" si="24"/>
        <v>0</v>
      </c>
      <c r="H38" s="2">
        <f t="shared" si="24"/>
        <v>1</v>
      </c>
      <c r="I38" s="2">
        <f t="shared" si="24"/>
        <v>0</v>
      </c>
      <c r="J38" s="2">
        <f t="shared" si="24"/>
        <v>0</v>
      </c>
      <c r="K38" s="2">
        <f t="shared" si="24"/>
        <v>0</v>
      </c>
      <c r="L38" s="2">
        <f t="shared" si="24"/>
        <v>0</v>
      </c>
      <c r="M38" s="2">
        <f t="shared" si="24"/>
        <v>0</v>
      </c>
      <c r="N38" s="2">
        <f t="shared" si="24"/>
        <v>0</v>
      </c>
      <c r="O38" s="2">
        <f t="shared" si="24"/>
        <v>0</v>
      </c>
      <c r="P38" s="2">
        <f t="shared" si="1"/>
        <v>1</v>
      </c>
      <c r="R38" s="21"/>
      <c r="S38" s="2">
        <v>72</v>
      </c>
      <c r="T38" s="2">
        <f t="shared" si="7"/>
        <v>0.17199999999999999</v>
      </c>
      <c r="U38" s="2">
        <f t="shared" si="7"/>
        <v>9.4E-2</v>
      </c>
      <c r="V38" s="2">
        <f t="shared" si="7"/>
        <v>7.8E-2</v>
      </c>
      <c r="W38" s="2">
        <f t="shared" si="7"/>
        <v>0.125</v>
      </c>
      <c r="X38" s="2">
        <f t="shared" si="7"/>
        <v>7.8E-2</v>
      </c>
      <c r="Y38" s="2">
        <f t="shared" si="7"/>
        <v>7.8E-2</v>
      </c>
      <c r="Z38" s="2">
        <f t="shared" si="7"/>
        <v>6.3E-2</v>
      </c>
      <c r="AA38" s="2">
        <f t="shared" si="7"/>
        <v>7.8E-2</v>
      </c>
      <c r="AB38" s="2">
        <f t="shared" si="7"/>
        <v>0.109</v>
      </c>
      <c r="AC38" s="2">
        <f t="shared" si="7"/>
        <v>0.125</v>
      </c>
      <c r="AD38" s="2">
        <v>1</v>
      </c>
      <c r="AH38" s="21"/>
      <c r="AI38" s="2">
        <v>72</v>
      </c>
      <c r="AJ38" s="2">
        <f t="shared" si="20"/>
        <v>0</v>
      </c>
      <c r="AK38" s="2">
        <f t="shared" si="20"/>
        <v>0</v>
      </c>
      <c r="AL38" s="2">
        <f t="shared" si="20"/>
        <v>0</v>
      </c>
      <c r="AM38" s="2">
        <f t="shared" si="20"/>
        <v>0</v>
      </c>
      <c r="AN38" s="2">
        <f t="shared" si="20"/>
        <v>0</v>
      </c>
      <c r="AO38" s="2">
        <f t="shared" si="20"/>
        <v>0</v>
      </c>
      <c r="AP38" s="2">
        <f t="shared" si="20"/>
        <v>0</v>
      </c>
      <c r="AQ38" s="2">
        <f t="shared" si="20"/>
        <v>0</v>
      </c>
      <c r="AR38" s="2">
        <f t="shared" si="20"/>
        <v>0</v>
      </c>
      <c r="AS38" s="2">
        <f t="shared" si="20"/>
        <v>1</v>
      </c>
      <c r="AT38" s="2">
        <f t="shared" si="20"/>
        <v>0</v>
      </c>
      <c r="AU38" s="2">
        <f t="shared" si="20"/>
        <v>0</v>
      </c>
      <c r="AV38" s="2">
        <f t="shared" si="20"/>
        <v>0</v>
      </c>
      <c r="AW38" s="2">
        <f t="shared" si="20"/>
        <v>0</v>
      </c>
      <c r="AX38" s="2">
        <f t="shared" si="20"/>
        <v>0</v>
      </c>
      <c r="AY38" s="2">
        <f t="shared" si="20"/>
        <v>0</v>
      </c>
      <c r="AZ38" s="2">
        <f t="shared" si="17"/>
        <v>0</v>
      </c>
      <c r="BA38" s="2">
        <f t="shared" si="17"/>
        <v>0</v>
      </c>
      <c r="BB38" s="2">
        <f t="shared" si="17"/>
        <v>0</v>
      </c>
      <c r="BC38" s="2">
        <f t="shared" si="17"/>
        <v>0</v>
      </c>
      <c r="BD38" s="2">
        <f t="shared" si="17"/>
        <v>0</v>
      </c>
      <c r="BE38" s="2">
        <f t="shared" si="17"/>
        <v>0</v>
      </c>
      <c r="BF38" s="2">
        <f t="shared" si="17"/>
        <v>0</v>
      </c>
      <c r="BG38" s="2">
        <f t="shared" si="17"/>
        <v>0</v>
      </c>
      <c r="BH38" s="2">
        <f t="shared" si="17"/>
        <v>0</v>
      </c>
      <c r="BI38" s="2">
        <f t="shared" si="23"/>
        <v>0</v>
      </c>
      <c r="BJ38" s="2">
        <f t="shared" si="23"/>
        <v>0</v>
      </c>
      <c r="BK38" s="2">
        <f t="shared" si="23"/>
        <v>0</v>
      </c>
      <c r="BL38" s="2">
        <f t="shared" si="23"/>
        <v>0</v>
      </c>
      <c r="BM38" s="2">
        <f t="shared" si="23"/>
        <v>0</v>
      </c>
      <c r="BN38" s="2">
        <f t="shared" si="23"/>
        <v>0</v>
      </c>
      <c r="BO38" s="2">
        <f t="shared" si="23"/>
        <v>0</v>
      </c>
      <c r="BP38" s="2">
        <f t="shared" si="23"/>
        <v>0</v>
      </c>
      <c r="BQ38" s="2">
        <f t="shared" si="23"/>
        <v>0</v>
      </c>
      <c r="BR38" s="2">
        <f t="shared" si="23"/>
        <v>0</v>
      </c>
      <c r="BS38" s="2">
        <f t="shared" si="23"/>
        <v>0</v>
      </c>
      <c r="BT38" s="2">
        <f t="shared" si="23"/>
        <v>0</v>
      </c>
      <c r="BU38" s="2">
        <f t="shared" si="12"/>
        <v>0</v>
      </c>
      <c r="BV38" s="2">
        <f t="shared" si="23"/>
        <v>0</v>
      </c>
      <c r="BW38" s="2">
        <f t="shared" si="23"/>
        <v>0</v>
      </c>
      <c r="BX38" s="2">
        <f t="shared" si="23"/>
        <v>0</v>
      </c>
      <c r="BY38" s="2">
        <f t="shared" si="9"/>
        <v>1</v>
      </c>
      <c r="CB38" s="21"/>
      <c r="CC38" s="2">
        <v>72</v>
      </c>
      <c r="CD38" s="3">
        <f t="shared" si="21"/>
        <v>1.5625E-2</v>
      </c>
      <c r="CE38" s="3">
        <f t="shared" si="21"/>
        <v>1.5625E-2</v>
      </c>
      <c r="CF38" s="3">
        <f t="shared" si="21"/>
        <v>1.5625E-2</v>
      </c>
      <c r="CG38" s="3">
        <f t="shared" si="21"/>
        <v>3.125E-2</v>
      </c>
      <c r="CH38" s="3">
        <f t="shared" si="21"/>
        <v>3.125E-2</v>
      </c>
      <c r="CI38" s="3">
        <f t="shared" si="21"/>
        <v>3.125E-2</v>
      </c>
      <c r="CJ38" s="3">
        <f t="shared" si="21"/>
        <v>1.5625E-2</v>
      </c>
      <c r="CK38" s="3">
        <f t="shared" si="21"/>
        <v>4.6875E-2</v>
      </c>
      <c r="CL38" s="3">
        <f t="shared" si="21"/>
        <v>1.5625E-2</v>
      </c>
      <c r="CM38" s="3">
        <f t="shared" si="21"/>
        <v>3.125E-2</v>
      </c>
      <c r="CN38" s="3">
        <f t="shared" si="21"/>
        <v>3.125E-2</v>
      </c>
      <c r="CO38" s="3">
        <f t="shared" si="21"/>
        <v>1.5625E-2</v>
      </c>
      <c r="CP38" s="3">
        <f t="shared" si="21"/>
        <v>3.125E-2</v>
      </c>
      <c r="CQ38" s="3">
        <f t="shared" si="21"/>
        <v>3.125E-2</v>
      </c>
      <c r="CR38" s="3">
        <f t="shared" si="21"/>
        <v>1.5625E-2</v>
      </c>
      <c r="CS38" s="3">
        <f t="shared" si="21"/>
        <v>4.6875E-2</v>
      </c>
      <c r="CT38" s="3">
        <f t="shared" si="18"/>
        <v>3.125E-2</v>
      </c>
      <c r="CU38" s="3">
        <f t="shared" si="18"/>
        <v>1.5625E-2</v>
      </c>
      <c r="CV38" s="3">
        <f t="shared" si="18"/>
        <v>3.125E-2</v>
      </c>
      <c r="CW38" s="3">
        <f t="shared" si="18"/>
        <v>1.5625E-2</v>
      </c>
      <c r="CX38" s="3">
        <f t="shared" si="18"/>
        <v>1.5625E-2</v>
      </c>
      <c r="CY38" s="3">
        <f t="shared" si="18"/>
        <v>3.125E-2</v>
      </c>
      <c r="CZ38" s="3">
        <f t="shared" si="18"/>
        <v>1.5625E-2</v>
      </c>
      <c r="DA38" s="3">
        <f t="shared" si="18"/>
        <v>1.5625E-2</v>
      </c>
      <c r="DB38" s="3">
        <f t="shared" si="18"/>
        <v>4.6875E-2</v>
      </c>
      <c r="DC38" s="3">
        <f t="shared" si="19"/>
        <v>1.5625E-2</v>
      </c>
      <c r="DD38" s="3">
        <f t="shared" si="19"/>
        <v>4.6875E-2</v>
      </c>
      <c r="DE38" s="3">
        <f t="shared" si="19"/>
        <v>3.125E-2</v>
      </c>
      <c r="DF38" s="3">
        <f t="shared" si="19"/>
        <v>1.5625E-2</v>
      </c>
      <c r="DG38" s="3">
        <f t="shared" si="19"/>
        <v>1.5625E-2</v>
      </c>
      <c r="DH38" s="3">
        <f t="shared" si="19"/>
        <v>4.6875E-2</v>
      </c>
      <c r="DI38" s="3">
        <f t="shared" si="19"/>
        <v>3.125E-2</v>
      </c>
      <c r="DJ38" s="3">
        <f t="shared" si="19"/>
        <v>1.5625E-2</v>
      </c>
      <c r="DK38" s="3">
        <f t="shared" si="19"/>
        <v>1.5625E-2</v>
      </c>
      <c r="DL38" s="3">
        <f t="shared" si="19"/>
        <v>1.5625E-2</v>
      </c>
      <c r="DM38" s="3">
        <f t="shared" si="19"/>
        <v>3.125E-2</v>
      </c>
      <c r="DN38" s="3">
        <f t="shared" si="19"/>
        <v>1.5625E-2</v>
      </c>
      <c r="DO38" s="3">
        <f t="shared" si="19"/>
        <v>1.5625E-2</v>
      </c>
      <c r="DP38" s="3">
        <f t="shared" si="19"/>
        <v>1.5625E-2</v>
      </c>
      <c r="DQ38" s="3">
        <f t="shared" si="19"/>
        <v>1.5625E-2</v>
      </c>
      <c r="DR38" s="3">
        <f t="shared" si="19"/>
        <v>1.5625E-2</v>
      </c>
      <c r="DS38" s="2">
        <v>1</v>
      </c>
    </row>
    <row r="39" spans="1:123" x14ac:dyDescent="0.3">
      <c r="A39" s="2">
        <v>44</v>
      </c>
      <c r="B39" s="4">
        <v>3</v>
      </c>
      <c r="C39" s="6">
        <v>34</v>
      </c>
      <c r="D39" s="21"/>
      <c r="E39" s="2">
        <v>20</v>
      </c>
      <c r="F39" s="2">
        <f t="shared" si="24"/>
        <v>0</v>
      </c>
      <c r="G39" s="2">
        <f t="shared" si="24"/>
        <v>0</v>
      </c>
      <c r="H39" s="2">
        <f t="shared" si="24"/>
        <v>0</v>
      </c>
      <c r="I39" s="2">
        <f t="shared" si="24"/>
        <v>0</v>
      </c>
      <c r="J39" s="2">
        <f t="shared" si="24"/>
        <v>0</v>
      </c>
      <c r="K39" s="2">
        <f t="shared" si="24"/>
        <v>0</v>
      </c>
      <c r="L39" s="2">
        <f t="shared" si="24"/>
        <v>1</v>
      </c>
      <c r="M39" s="2">
        <f t="shared" si="24"/>
        <v>0</v>
      </c>
      <c r="N39" s="2">
        <f t="shared" si="24"/>
        <v>0</v>
      </c>
      <c r="O39" s="2">
        <f t="shared" si="24"/>
        <v>0</v>
      </c>
      <c r="P39" s="2">
        <f t="shared" si="1"/>
        <v>1</v>
      </c>
      <c r="R39" s="21"/>
      <c r="S39" s="2">
        <v>78</v>
      </c>
      <c r="T39" s="2">
        <f t="shared" si="7"/>
        <v>0.34399999999999997</v>
      </c>
      <c r="U39" s="2">
        <f t="shared" si="7"/>
        <v>0.188</v>
      </c>
      <c r="V39" s="2">
        <f t="shared" si="7"/>
        <v>0.156</v>
      </c>
      <c r="W39" s="2">
        <f t="shared" si="7"/>
        <v>0.25</v>
      </c>
      <c r="X39" s="2">
        <f t="shared" si="7"/>
        <v>0.156</v>
      </c>
      <c r="Y39" s="2">
        <f t="shared" si="7"/>
        <v>0.156</v>
      </c>
      <c r="Z39" s="2">
        <f t="shared" si="7"/>
        <v>0.125</v>
      </c>
      <c r="AA39" s="2">
        <f t="shared" si="7"/>
        <v>0.156</v>
      </c>
      <c r="AB39" s="2">
        <f t="shared" si="7"/>
        <v>0.219</v>
      </c>
      <c r="AC39" s="2">
        <f t="shared" si="7"/>
        <v>0.25</v>
      </c>
      <c r="AD39" s="2">
        <v>2</v>
      </c>
      <c r="AH39" s="21"/>
      <c r="AI39" s="2">
        <v>78</v>
      </c>
      <c r="AJ39" s="2">
        <f t="shared" si="20"/>
        <v>0</v>
      </c>
      <c r="AK39" s="2">
        <f t="shared" si="20"/>
        <v>0</v>
      </c>
      <c r="AL39" s="2">
        <f t="shared" si="20"/>
        <v>0</v>
      </c>
      <c r="AM39" s="2">
        <f t="shared" si="20"/>
        <v>1</v>
      </c>
      <c r="AN39" s="2">
        <f t="shared" si="20"/>
        <v>0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0</v>
      </c>
      <c r="AS39" s="2">
        <f t="shared" si="20"/>
        <v>0</v>
      </c>
      <c r="AT39" s="2">
        <f t="shared" si="20"/>
        <v>0</v>
      </c>
      <c r="AU39" s="2">
        <f t="shared" si="20"/>
        <v>0</v>
      </c>
      <c r="AV39" s="2">
        <f t="shared" si="20"/>
        <v>0</v>
      </c>
      <c r="AW39" s="2">
        <f t="shared" si="20"/>
        <v>0</v>
      </c>
      <c r="AX39" s="2">
        <f t="shared" si="20"/>
        <v>0</v>
      </c>
      <c r="AY39" s="2">
        <f t="shared" si="20"/>
        <v>0</v>
      </c>
      <c r="AZ39" s="2">
        <f t="shared" si="17"/>
        <v>0</v>
      </c>
      <c r="BA39" s="2">
        <f t="shared" si="17"/>
        <v>0</v>
      </c>
      <c r="BB39" s="2">
        <f t="shared" si="17"/>
        <v>0</v>
      </c>
      <c r="BC39" s="2">
        <f t="shared" si="17"/>
        <v>0</v>
      </c>
      <c r="BD39" s="2">
        <f t="shared" si="17"/>
        <v>0</v>
      </c>
      <c r="BE39" s="2">
        <f t="shared" si="17"/>
        <v>0</v>
      </c>
      <c r="BF39" s="2">
        <f t="shared" si="17"/>
        <v>0</v>
      </c>
      <c r="BG39" s="2">
        <f t="shared" si="17"/>
        <v>0</v>
      </c>
      <c r="BH39" s="2">
        <f t="shared" si="17"/>
        <v>0</v>
      </c>
      <c r="BI39" s="2">
        <f t="shared" si="23"/>
        <v>0</v>
      </c>
      <c r="BJ39" s="2">
        <f t="shared" si="23"/>
        <v>0</v>
      </c>
      <c r="BK39" s="2">
        <f t="shared" si="23"/>
        <v>0</v>
      </c>
      <c r="BL39" s="2">
        <f t="shared" si="23"/>
        <v>0</v>
      </c>
      <c r="BM39" s="2">
        <f t="shared" si="23"/>
        <v>0</v>
      </c>
      <c r="BN39" s="2">
        <f t="shared" si="23"/>
        <v>0</v>
      </c>
      <c r="BO39" s="2">
        <f t="shared" si="23"/>
        <v>0</v>
      </c>
      <c r="BP39" s="2">
        <f t="shared" si="23"/>
        <v>0</v>
      </c>
      <c r="BQ39" s="2">
        <f t="shared" si="23"/>
        <v>0</v>
      </c>
      <c r="BR39" s="2">
        <f t="shared" si="23"/>
        <v>0</v>
      </c>
      <c r="BS39" s="2">
        <f t="shared" si="23"/>
        <v>0</v>
      </c>
      <c r="BT39" s="2">
        <f t="shared" si="23"/>
        <v>0</v>
      </c>
      <c r="BU39" s="2">
        <f t="shared" si="12"/>
        <v>0</v>
      </c>
      <c r="BV39" s="2">
        <f t="shared" si="23"/>
        <v>0</v>
      </c>
      <c r="BW39" s="2">
        <f t="shared" si="23"/>
        <v>0</v>
      </c>
      <c r="BX39" s="2">
        <f t="shared" si="23"/>
        <v>0</v>
      </c>
      <c r="BY39" s="2">
        <f t="shared" si="9"/>
        <v>1</v>
      </c>
      <c r="CB39" s="21"/>
      <c r="CC39" s="2">
        <v>78</v>
      </c>
      <c r="CD39" s="3">
        <f t="shared" si="21"/>
        <v>3.125E-2</v>
      </c>
      <c r="CE39" s="3">
        <f t="shared" si="21"/>
        <v>3.125E-2</v>
      </c>
      <c r="CF39" s="3">
        <f t="shared" si="21"/>
        <v>3.125E-2</v>
      </c>
      <c r="CG39" s="3">
        <f t="shared" si="21"/>
        <v>6.25E-2</v>
      </c>
      <c r="CH39" s="3">
        <f t="shared" si="21"/>
        <v>6.25E-2</v>
      </c>
      <c r="CI39" s="3">
        <f t="shared" si="21"/>
        <v>6.25E-2</v>
      </c>
      <c r="CJ39" s="3">
        <f t="shared" si="21"/>
        <v>3.125E-2</v>
      </c>
      <c r="CK39" s="3">
        <f t="shared" si="21"/>
        <v>9.375E-2</v>
      </c>
      <c r="CL39" s="3">
        <f t="shared" si="21"/>
        <v>3.125E-2</v>
      </c>
      <c r="CM39" s="3">
        <f t="shared" si="21"/>
        <v>6.25E-2</v>
      </c>
      <c r="CN39" s="3">
        <f t="shared" si="21"/>
        <v>6.25E-2</v>
      </c>
      <c r="CO39" s="3">
        <f t="shared" si="21"/>
        <v>3.125E-2</v>
      </c>
      <c r="CP39" s="3">
        <f t="shared" si="21"/>
        <v>6.25E-2</v>
      </c>
      <c r="CQ39" s="3">
        <f t="shared" si="21"/>
        <v>6.25E-2</v>
      </c>
      <c r="CR39" s="3">
        <f t="shared" si="21"/>
        <v>3.125E-2</v>
      </c>
      <c r="CS39" s="3">
        <f t="shared" si="21"/>
        <v>9.375E-2</v>
      </c>
      <c r="CT39" s="3">
        <f t="shared" si="18"/>
        <v>6.25E-2</v>
      </c>
      <c r="CU39" s="3">
        <f t="shared" si="18"/>
        <v>3.125E-2</v>
      </c>
      <c r="CV39" s="3">
        <f t="shared" si="18"/>
        <v>6.25E-2</v>
      </c>
      <c r="CW39" s="3">
        <f t="shared" si="18"/>
        <v>3.125E-2</v>
      </c>
      <c r="CX39" s="3">
        <f t="shared" si="18"/>
        <v>3.125E-2</v>
      </c>
      <c r="CY39" s="3">
        <f t="shared" si="18"/>
        <v>6.25E-2</v>
      </c>
      <c r="CZ39" s="3">
        <f t="shared" si="18"/>
        <v>3.125E-2</v>
      </c>
      <c r="DA39" s="3">
        <f t="shared" si="18"/>
        <v>3.125E-2</v>
      </c>
      <c r="DB39" s="3">
        <f t="shared" si="18"/>
        <v>9.375E-2</v>
      </c>
      <c r="DC39" s="3">
        <f t="shared" si="19"/>
        <v>3.125E-2</v>
      </c>
      <c r="DD39" s="3">
        <f t="shared" si="19"/>
        <v>9.375E-2</v>
      </c>
      <c r="DE39" s="3">
        <f t="shared" si="19"/>
        <v>6.25E-2</v>
      </c>
      <c r="DF39" s="3">
        <f t="shared" si="19"/>
        <v>3.125E-2</v>
      </c>
      <c r="DG39" s="3">
        <f t="shared" si="19"/>
        <v>3.125E-2</v>
      </c>
      <c r="DH39" s="3">
        <f t="shared" si="19"/>
        <v>9.375E-2</v>
      </c>
      <c r="DI39" s="3">
        <f t="shared" si="19"/>
        <v>6.25E-2</v>
      </c>
      <c r="DJ39" s="3">
        <f t="shared" si="19"/>
        <v>3.125E-2</v>
      </c>
      <c r="DK39" s="3">
        <f t="shared" si="19"/>
        <v>3.125E-2</v>
      </c>
      <c r="DL39" s="3">
        <f t="shared" si="19"/>
        <v>3.125E-2</v>
      </c>
      <c r="DM39" s="3">
        <f t="shared" si="19"/>
        <v>6.25E-2</v>
      </c>
      <c r="DN39" s="3">
        <f t="shared" si="19"/>
        <v>3.125E-2</v>
      </c>
      <c r="DO39" s="3">
        <f t="shared" si="19"/>
        <v>3.125E-2</v>
      </c>
      <c r="DP39" s="3">
        <f t="shared" si="19"/>
        <v>3.125E-2</v>
      </c>
      <c r="DQ39" s="3">
        <f t="shared" si="19"/>
        <v>3.125E-2</v>
      </c>
      <c r="DR39" s="3">
        <f t="shared" si="19"/>
        <v>3.125E-2</v>
      </c>
      <c r="DS39" s="2">
        <v>2</v>
      </c>
    </row>
    <row r="40" spans="1:123" x14ac:dyDescent="0.3">
      <c r="A40" s="2">
        <v>86</v>
      </c>
      <c r="B40" s="4">
        <v>4</v>
      </c>
      <c r="C40" s="6">
        <v>25</v>
      </c>
      <c r="D40" s="21"/>
      <c r="E40" s="2">
        <v>80</v>
      </c>
      <c r="F40" s="2">
        <f t="shared" si="24"/>
        <v>0</v>
      </c>
      <c r="G40" s="2">
        <f t="shared" si="24"/>
        <v>0</v>
      </c>
      <c r="H40" s="2">
        <f t="shared" si="24"/>
        <v>0</v>
      </c>
      <c r="I40" s="2">
        <f t="shared" si="24"/>
        <v>0</v>
      </c>
      <c r="J40" s="2">
        <f t="shared" si="24"/>
        <v>0</v>
      </c>
      <c r="K40" s="2">
        <f t="shared" si="24"/>
        <v>0</v>
      </c>
      <c r="L40" s="2">
        <f t="shared" si="24"/>
        <v>0</v>
      </c>
      <c r="M40" s="2">
        <f t="shared" si="24"/>
        <v>0</v>
      </c>
      <c r="N40" s="2">
        <f t="shared" si="24"/>
        <v>0</v>
      </c>
      <c r="O40" s="2">
        <f t="shared" si="24"/>
        <v>0</v>
      </c>
      <c r="P40" s="2">
        <f t="shared" si="1"/>
        <v>0</v>
      </c>
      <c r="R40" s="21"/>
      <c r="S40" s="2">
        <v>62</v>
      </c>
      <c r="T40" s="2">
        <f t="shared" si="7"/>
        <v>0.17199999999999999</v>
      </c>
      <c r="U40" s="2">
        <f t="shared" si="7"/>
        <v>9.4E-2</v>
      </c>
      <c r="V40" s="2">
        <f t="shared" si="7"/>
        <v>7.8E-2</v>
      </c>
      <c r="W40" s="2">
        <f t="shared" si="7"/>
        <v>0.125</v>
      </c>
      <c r="X40" s="2">
        <f t="shared" si="7"/>
        <v>7.8E-2</v>
      </c>
      <c r="Y40" s="2">
        <f t="shared" si="7"/>
        <v>7.8E-2</v>
      </c>
      <c r="Z40" s="2">
        <f t="shared" si="7"/>
        <v>6.3E-2</v>
      </c>
      <c r="AA40" s="2">
        <f t="shared" si="7"/>
        <v>7.8E-2</v>
      </c>
      <c r="AB40" s="2">
        <f t="shared" si="7"/>
        <v>0.109</v>
      </c>
      <c r="AC40" s="2">
        <f t="shared" si="7"/>
        <v>0.125</v>
      </c>
      <c r="AD40" s="2">
        <v>1</v>
      </c>
      <c r="AH40" s="21"/>
      <c r="AI40" s="2">
        <v>62</v>
      </c>
      <c r="AJ40" s="2">
        <f t="shared" si="20"/>
        <v>0</v>
      </c>
      <c r="AK40" s="2">
        <f t="shared" si="20"/>
        <v>0</v>
      </c>
      <c r="AL40" s="2">
        <f t="shared" si="20"/>
        <v>0</v>
      </c>
      <c r="AM40" s="2">
        <f t="shared" si="20"/>
        <v>0</v>
      </c>
      <c r="AN40" s="2">
        <f t="shared" si="20"/>
        <v>0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0</v>
      </c>
      <c r="AS40" s="2">
        <f t="shared" si="20"/>
        <v>0</v>
      </c>
      <c r="AT40" s="2">
        <f t="shared" si="20"/>
        <v>0</v>
      </c>
      <c r="AU40" s="2">
        <f t="shared" si="20"/>
        <v>0</v>
      </c>
      <c r="AV40" s="2">
        <f t="shared" si="20"/>
        <v>0</v>
      </c>
      <c r="AW40" s="2">
        <f t="shared" si="20"/>
        <v>0</v>
      </c>
      <c r="AX40" s="2">
        <f t="shared" si="20"/>
        <v>0</v>
      </c>
      <c r="AY40" s="2">
        <f t="shared" si="20"/>
        <v>0</v>
      </c>
      <c r="AZ40" s="2">
        <f t="shared" si="17"/>
        <v>0</v>
      </c>
      <c r="BA40" s="2">
        <f t="shared" si="17"/>
        <v>0</v>
      </c>
      <c r="BB40" s="2">
        <f t="shared" si="17"/>
        <v>0</v>
      </c>
      <c r="BC40" s="2">
        <f t="shared" si="17"/>
        <v>0</v>
      </c>
      <c r="BD40" s="2">
        <f t="shared" si="17"/>
        <v>0</v>
      </c>
      <c r="BE40" s="2">
        <f t="shared" si="17"/>
        <v>0</v>
      </c>
      <c r="BF40" s="2">
        <f t="shared" si="17"/>
        <v>0</v>
      </c>
      <c r="BG40" s="2">
        <f t="shared" si="17"/>
        <v>0</v>
      </c>
      <c r="BH40" s="2">
        <f t="shared" si="17"/>
        <v>0</v>
      </c>
      <c r="BI40" s="2">
        <f t="shared" si="23"/>
        <v>0</v>
      </c>
      <c r="BJ40" s="2">
        <f t="shared" si="23"/>
        <v>0</v>
      </c>
      <c r="BK40" s="2">
        <f t="shared" si="23"/>
        <v>0</v>
      </c>
      <c r="BL40" s="2">
        <f t="shared" si="23"/>
        <v>1</v>
      </c>
      <c r="BM40" s="2">
        <f t="shared" si="23"/>
        <v>0</v>
      </c>
      <c r="BN40" s="2">
        <f t="shared" si="23"/>
        <v>0</v>
      </c>
      <c r="BO40" s="2">
        <f t="shared" si="23"/>
        <v>0</v>
      </c>
      <c r="BP40" s="2">
        <f t="shared" si="23"/>
        <v>0</v>
      </c>
      <c r="BQ40" s="2">
        <f t="shared" si="23"/>
        <v>0</v>
      </c>
      <c r="BR40" s="2">
        <f t="shared" si="23"/>
        <v>0</v>
      </c>
      <c r="BS40" s="2">
        <f t="shared" si="23"/>
        <v>0</v>
      </c>
      <c r="BT40" s="2">
        <f t="shared" si="23"/>
        <v>0</v>
      </c>
      <c r="BU40" s="2">
        <f t="shared" si="12"/>
        <v>0</v>
      </c>
      <c r="BV40" s="2">
        <f t="shared" si="23"/>
        <v>0</v>
      </c>
      <c r="BW40" s="2">
        <f t="shared" si="23"/>
        <v>0</v>
      </c>
      <c r="BX40" s="2">
        <f t="shared" si="23"/>
        <v>0</v>
      </c>
      <c r="BY40" s="2">
        <f t="shared" si="9"/>
        <v>1</v>
      </c>
      <c r="CB40" s="21"/>
      <c r="CC40" s="2">
        <v>62</v>
      </c>
      <c r="CD40" s="3">
        <f t="shared" si="21"/>
        <v>1.5625E-2</v>
      </c>
      <c r="CE40" s="3">
        <f t="shared" si="21"/>
        <v>1.5625E-2</v>
      </c>
      <c r="CF40" s="3">
        <f t="shared" si="21"/>
        <v>1.5625E-2</v>
      </c>
      <c r="CG40" s="3">
        <f t="shared" si="21"/>
        <v>3.125E-2</v>
      </c>
      <c r="CH40" s="3">
        <f t="shared" si="21"/>
        <v>3.125E-2</v>
      </c>
      <c r="CI40" s="3">
        <f t="shared" si="21"/>
        <v>3.125E-2</v>
      </c>
      <c r="CJ40" s="3">
        <f t="shared" si="21"/>
        <v>1.5625E-2</v>
      </c>
      <c r="CK40" s="3">
        <f t="shared" si="21"/>
        <v>4.6875E-2</v>
      </c>
      <c r="CL40" s="3">
        <f t="shared" si="21"/>
        <v>1.5625E-2</v>
      </c>
      <c r="CM40" s="3">
        <f t="shared" si="21"/>
        <v>3.125E-2</v>
      </c>
      <c r="CN40" s="3">
        <f t="shared" si="21"/>
        <v>3.125E-2</v>
      </c>
      <c r="CO40" s="3">
        <f t="shared" si="21"/>
        <v>1.5625E-2</v>
      </c>
      <c r="CP40" s="3">
        <f t="shared" si="21"/>
        <v>3.125E-2</v>
      </c>
      <c r="CQ40" s="3">
        <f t="shared" si="21"/>
        <v>3.125E-2</v>
      </c>
      <c r="CR40" s="3">
        <f t="shared" si="21"/>
        <v>1.5625E-2</v>
      </c>
      <c r="CS40" s="3">
        <f t="shared" si="21"/>
        <v>4.6875E-2</v>
      </c>
      <c r="CT40" s="3">
        <f t="shared" si="18"/>
        <v>3.125E-2</v>
      </c>
      <c r="CU40" s="3">
        <f t="shared" si="18"/>
        <v>1.5625E-2</v>
      </c>
      <c r="CV40" s="3">
        <f t="shared" si="18"/>
        <v>3.125E-2</v>
      </c>
      <c r="CW40" s="3">
        <f t="shared" si="18"/>
        <v>1.5625E-2</v>
      </c>
      <c r="CX40" s="3">
        <f t="shared" si="18"/>
        <v>1.5625E-2</v>
      </c>
      <c r="CY40" s="3">
        <f t="shared" si="18"/>
        <v>3.125E-2</v>
      </c>
      <c r="CZ40" s="3">
        <f t="shared" si="18"/>
        <v>1.5625E-2</v>
      </c>
      <c r="DA40" s="3">
        <f t="shared" si="18"/>
        <v>1.5625E-2</v>
      </c>
      <c r="DB40" s="3">
        <f t="shared" si="18"/>
        <v>4.6875E-2</v>
      </c>
      <c r="DC40" s="3">
        <f t="shared" si="19"/>
        <v>1.5625E-2</v>
      </c>
      <c r="DD40" s="3">
        <f t="shared" si="19"/>
        <v>4.6875E-2</v>
      </c>
      <c r="DE40" s="3">
        <f t="shared" si="19"/>
        <v>3.125E-2</v>
      </c>
      <c r="DF40" s="3">
        <f t="shared" si="19"/>
        <v>1.5625E-2</v>
      </c>
      <c r="DG40" s="3">
        <f t="shared" si="19"/>
        <v>1.5625E-2</v>
      </c>
      <c r="DH40" s="3">
        <f t="shared" si="19"/>
        <v>4.6875E-2</v>
      </c>
      <c r="DI40" s="3">
        <f t="shared" si="19"/>
        <v>3.125E-2</v>
      </c>
      <c r="DJ40" s="3">
        <f t="shared" si="19"/>
        <v>1.5625E-2</v>
      </c>
      <c r="DK40" s="3">
        <f t="shared" si="19"/>
        <v>1.5625E-2</v>
      </c>
      <c r="DL40" s="3">
        <f t="shared" si="19"/>
        <v>1.5625E-2</v>
      </c>
      <c r="DM40" s="3">
        <f t="shared" si="19"/>
        <v>3.125E-2</v>
      </c>
      <c r="DN40" s="3">
        <f t="shared" si="19"/>
        <v>1.5625E-2</v>
      </c>
      <c r="DO40" s="3">
        <f t="shared" si="19"/>
        <v>1.5625E-2</v>
      </c>
      <c r="DP40" s="3">
        <f t="shared" si="19"/>
        <v>1.5625E-2</v>
      </c>
      <c r="DQ40" s="3">
        <f t="shared" si="19"/>
        <v>1.5625E-2</v>
      </c>
      <c r="DR40" s="3">
        <f t="shared" si="19"/>
        <v>1.5625E-2</v>
      </c>
      <c r="DS40" s="2">
        <v>1</v>
      </c>
    </row>
    <row r="41" spans="1:123" x14ac:dyDescent="0.3">
      <c r="A41" s="2">
        <v>59</v>
      </c>
      <c r="B41" s="4">
        <v>2</v>
      </c>
      <c r="C41" s="6">
        <v>64</v>
      </c>
      <c r="D41" s="21"/>
      <c r="E41" s="2">
        <v>29</v>
      </c>
      <c r="F41" s="2">
        <f t="shared" si="24"/>
        <v>0</v>
      </c>
      <c r="G41" s="2">
        <f t="shared" si="24"/>
        <v>0</v>
      </c>
      <c r="H41" s="2">
        <f t="shared" si="24"/>
        <v>0</v>
      </c>
      <c r="I41" s="2">
        <f t="shared" si="24"/>
        <v>0</v>
      </c>
      <c r="J41" s="2">
        <f t="shared" si="24"/>
        <v>0</v>
      </c>
      <c r="K41" s="2">
        <f t="shared" si="24"/>
        <v>0</v>
      </c>
      <c r="L41" s="2">
        <f t="shared" si="24"/>
        <v>0</v>
      </c>
      <c r="M41" s="2">
        <f t="shared" si="24"/>
        <v>0</v>
      </c>
      <c r="N41" s="2">
        <f t="shared" si="24"/>
        <v>0</v>
      </c>
      <c r="O41" s="2">
        <f t="shared" si="24"/>
        <v>0</v>
      </c>
      <c r="P41" s="2">
        <f t="shared" si="1"/>
        <v>0</v>
      </c>
      <c r="R41" s="21"/>
      <c r="S41" s="2">
        <v>54</v>
      </c>
      <c r="T41" s="2">
        <f t="shared" si="7"/>
        <v>0.17199999999999999</v>
      </c>
      <c r="U41" s="2">
        <f t="shared" si="7"/>
        <v>9.4E-2</v>
      </c>
      <c r="V41" s="2">
        <f t="shared" si="7"/>
        <v>7.8E-2</v>
      </c>
      <c r="W41" s="2">
        <f t="shared" si="7"/>
        <v>0.125</v>
      </c>
      <c r="X41" s="2">
        <f t="shared" si="7"/>
        <v>7.8E-2</v>
      </c>
      <c r="Y41" s="2">
        <f t="shared" si="7"/>
        <v>7.8E-2</v>
      </c>
      <c r="Z41" s="2">
        <f t="shared" si="7"/>
        <v>6.3E-2</v>
      </c>
      <c r="AA41" s="2">
        <f t="shared" si="7"/>
        <v>7.8E-2</v>
      </c>
      <c r="AB41" s="2">
        <f t="shared" si="7"/>
        <v>0.109</v>
      </c>
      <c r="AC41" s="2">
        <f t="shared" si="7"/>
        <v>0.125</v>
      </c>
      <c r="AD41" s="2">
        <v>1</v>
      </c>
      <c r="AH41" s="21"/>
      <c r="AI41" s="2">
        <v>54</v>
      </c>
      <c r="AJ41" s="2">
        <f t="shared" si="20"/>
        <v>0</v>
      </c>
      <c r="AK41" s="2">
        <f t="shared" si="20"/>
        <v>0</v>
      </c>
      <c r="AL41" s="2">
        <f t="shared" si="20"/>
        <v>0</v>
      </c>
      <c r="AM41" s="2">
        <f t="shared" si="20"/>
        <v>0</v>
      </c>
      <c r="AN41" s="2">
        <f t="shared" si="20"/>
        <v>0</v>
      </c>
      <c r="AO41" s="2">
        <f t="shared" si="20"/>
        <v>0</v>
      </c>
      <c r="AP41" s="2">
        <f t="shared" si="20"/>
        <v>0</v>
      </c>
      <c r="AQ41" s="2">
        <f t="shared" si="20"/>
        <v>0</v>
      </c>
      <c r="AR41" s="2">
        <f t="shared" si="20"/>
        <v>0</v>
      </c>
      <c r="AS41" s="2">
        <f t="shared" si="20"/>
        <v>0</v>
      </c>
      <c r="AT41" s="2">
        <f t="shared" si="20"/>
        <v>0</v>
      </c>
      <c r="AU41" s="2">
        <f t="shared" si="20"/>
        <v>0</v>
      </c>
      <c r="AV41" s="2">
        <f t="shared" si="20"/>
        <v>0</v>
      </c>
      <c r="AW41" s="2">
        <f t="shared" si="20"/>
        <v>0</v>
      </c>
      <c r="AX41" s="2">
        <f t="shared" si="20"/>
        <v>0</v>
      </c>
      <c r="AY41" s="2">
        <f t="shared" si="20"/>
        <v>0</v>
      </c>
      <c r="AZ41" s="2">
        <f t="shared" si="17"/>
        <v>0</v>
      </c>
      <c r="BA41" s="2">
        <f t="shared" si="17"/>
        <v>0</v>
      </c>
      <c r="BB41" s="2">
        <f t="shared" si="17"/>
        <v>0</v>
      </c>
      <c r="BC41" s="2">
        <f t="shared" si="17"/>
        <v>0</v>
      </c>
      <c r="BD41" s="2">
        <f t="shared" si="17"/>
        <v>0</v>
      </c>
      <c r="BE41" s="2">
        <f t="shared" si="17"/>
        <v>0</v>
      </c>
      <c r="BF41" s="2">
        <f t="shared" si="17"/>
        <v>0</v>
      </c>
      <c r="BG41" s="2">
        <f t="shared" si="17"/>
        <v>0</v>
      </c>
      <c r="BH41" s="2">
        <f t="shared" si="17"/>
        <v>0</v>
      </c>
      <c r="BI41" s="2">
        <f t="shared" si="23"/>
        <v>0</v>
      </c>
      <c r="BJ41" s="2">
        <f t="shared" si="23"/>
        <v>0</v>
      </c>
      <c r="BK41" s="2">
        <f t="shared" si="23"/>
        <v>0</v>
      </c>
      <c r="BL41" s="2">
        <f t="shared" si="23"/>
        <v>0</v>
      </c>
      <c r="BM41" s="2">
        <f t="shared" si="23"/>
        <v>0</v>
      </c>
      <c r="BN41" s="2">
        <f t="shared" si="23"/>
        <v>0</v>
      </c>
      <c r="BO41" s="2">
        <f t="shared" si="23"/>
        <v>0</v>
      </c>
      <c r="BP41" s="2">
        <f t="shared" si="23"/>
        <v>0</v>
      </c>
      <c r="BQ41" s="2">
        <f t="shared" si="23"/>
        <v>0</v>
      </c>
      <c r="BR41" s="2">
        <f t="shared" si="23"/>
        <v>0</v>
      </c>
      <c r="BS41" s="2">
        <f t="shared" si="23"/>
        <v>0</v>
      </c>
      <c r="BT41" s="2">
        <f t="shared" si="23"/>
        <v>0</v>
      </c>
      <c r="BU41" s="2">
        <f t="shared" si="12"/>
        <v>0</v>
      </c>
      <c r="BV41" s="2">
        <f t="shared" si="23"/>
        <v>0</v>
      </c>
      <c r="BW41" s="2">
        <f t="shared" si="23"/>
        <v>0</v>
      </c>
      <c r="BX41" s="2">
        <f t="shared" si="23"/>
        <v>0</v>
      </c>
      <c r="BY41" s="2">
        <f t="shared" si="9"/>
        <v>0</v>
      </c>
      <c r="CB41" s="21"/>
      <c r="CC41" s="2">
        <v>54</v>
      </c>
      <c r="CD41" s="3">
        <f t="shared" si="21"/>
        <v>1.5625E-2</v>
      </c>
      <c r="CE41" s="3">
        <f t="shared" si="21"/>
        <v>1.5625E-2</v>
      </c>
      <c r="CF41" s="3">
        <f t="shared" si="21"/>
        <v>1.5625E-2</v>
      </c>
      <c r="CG41" s="3">
        <f t="shared" si="21"/>
        <v>3.125E-2</v>
      </c>
      <c r="CH41" s="3">
        <f t="shared" si="21"/>
        <v>3.125E-2</v>
      </c>
      <c r="CI41" s="3">
        <f t="shared" si="21"/>
        <v>3.125E-2</v>
      </c>
      <c r="CJ41" s="3">
        <f t="shared" si="21"/>
        <v>1.5625E-2</v>
      </c>
      <c r="CK41" s="3">
        <f t="shared" si="21"/>
        <v>4.6875E-2</v>
      </c>
      <c r="CL41" s="3">
        <f t="shared" si="21"/>
        <v>1.5625E-2</v>
      </c>
      <c r="CM41" s="3">
        <f t="shared" si="21"/>
        <v>3.125E-2</v>
      </c>
      <c r="CN41" s="3">
        <f t="shared" si="21"/>
        <v>3.125E-2</v>
      </c>
      <c r="CO41" s="3">
        <f t="shared" si="21"/>
        <v>1.5625E-2</v>
      </c>
      <c r="CP41" s="3">
        <f t="shared" si="21"/>
        <v>3.125E-2</v>
      </c>
      <c r="CQ41" s="3">
        <f t="shared" si="21"/>
        <v>3.125E-2</v>
      </c>
      <c r="CR41" s="3">
        <f t="shared" si="21"/>
        <v>1.5625E-2</v>
      </c>
      <c r="CS41" s="3">
        <f t="shared" si="21"/>
        <v>4.6875E-2</v>
      </c>
      <c r="CT41" s="3">
        <f t="shared" si="18"/>
        <v>3.125E-2</v>
      </c>
      <c r="CU41" s="3">
        <f t="shared" si="18"/>
        <v>1.5625E-2</v>
      </c>
      <c r="CV41" s="3">
        <f t="shared" si="18"/>
        <v>3.125E-2</v>
      </c>
      <c r="CW41" s="3">
        <f t="shared" si="18"/>
        <v>1.5625E-2</v>
      </c>
      <c r="CX41" s="3">
        <f t="shared" si="18"/>
        <v>1.5625E-2</v>
      </c>
      <c r="CY41" s="3">
        <f t="shared" si="18"/>
        <v>3.125E-2</v>
      </c>
      <c r="CZ41" s="3">
        <f t="shared" si="18"/>
        <v>1.5625E-2</v>
      </c>
      <c r="DA41" s="3">
        <f t="shared" si="18"/>
        <v>1.5625E-2</v>
      </c>
      <c r="DB41" s="3">
        <f t="shared" si="18"/>
        <v>4.6875E-2</v>
      </c>
      <c r="DC41" s="3">
        <f t="shared" si="19"/>
        <v>1.5625E-2</v>
      </c>
      <c r="DD41" s="3">
        <f t="shared" si="19"/>
        <v>4.6875E-2</v>
      </c>
      <c r="DE41" s="3">
        <f t="shared" si="19"/>
        <v>3.125E-2</v>
      </c>
      <c r="DF41" s="3">
        <f t="shared" si="19"/>
        <v>1.5625E-2</v>
      </c>
      <c r="DG41" s="3">
        <f t="shared" si="19"/>
        <v>1.5625E-2</v>
      </c>
      <c r="DH41" s="3">
        <f t="shared" si="19"/>
        <v>4.6875E-2</v>
      </c>
      <c r="DI41" s="3">
        <f t="shared" si="19"/>
        <v>3.125E-2</v>
      </c>
      <c r="DJ41" s="3">
        <f t="shared" si="19"/>
        <v>1.5625E-2</v>
      </c>
      <c r="DK41" s="3">
        <f t="shared" si="19"/>
        <v>1.5625E-2</v>
      </c>
      <c r="DL41" s="3">
        <f t="shared" si="19"/>
        <v>1.5625E-2</v>
      </c>
      <c r="DM41" s="3">
        <f t="shared" si="19"/>
        <v>3.125E-2</v>
      </c>
      <c r="DN41" s="3">
        <f t="shared" si="19"/>
        <v>1.5625E-2</v>
      </c>
      <c r="DO41" s="3">
        <f t="shared" si="19"/>
        <v>1.5625E-2</v>
      </c>
      <c r="DP41" s="3">
        <f t="shared" si="19"/>
        <v>1.5625E-2</v>
      </c>
      <c r="DQ41" s="3">
        <f t="shared" si="19"/>
        <v>1.5625E-2</v>
      </c>
      <c r="DR41" s="3">
        <f t="shared" ref="CE41:DR46" si="25">$DS41*DR$47/$DS$47</f>
        <v>1.5625E-2</v>
      </c>
      <c r="DS41" s="2">
        <v>1</v>
      </c>
    </row>
    <row r="42" spans="1:123" x14ac:dyDescent="0.3">
      <c r="A42" s="2">
        <v>59</v>
      </c>
      <c r="B42" s="4">
        <v>9</v>
      </c>
      <c r="C42" s="6">
        <v>32</v>
      </c>
      <c r="D42" s="21"/>
      <c r="E42" s="2"/>
      <c r="F42" s="2">
        <f t="shared" si="24"/>
        <v>0</v>
      </c>
      <c r="G42" s="2">
        <f t="shared" si="24"/>
        <v>0</v>
      </c>
      <c r="H42" s="2">
        <f t="shared" si="24"/>
        <v>0</v>
      </c>
      <c r="I42" s="2">
        <f t="shared" si="24"/>
        <v>0</v>
      </c>
      <c r="J42" s="2">
        <f t="shared" si="24"/>
        <v>0</v>
      </c>
      <c r="K42" s="2">
        <f t="shared" si="24"/>
        <v>0</v>
      </c>
      <c r="L42" s="2">
        <f t="shared" si="24"/>
        <v>0</v>
      </c>
      <c r="M42" s="2">
        <f t="shared" si="24"/>
        <v>0</v>
      </c>
      <c r="N42" s="2">
        <f t="shared" si="24"/>
        <v>0</v>
      </c>
      <c r="O42" s="2">
        <f t="shared" si="24"/>
        <v>0</v>
      </c>
      <c r="P42" s="2">
        <f t="shared" si="1"/>
        <v>0</v>
      </c>
      <c r="R42" s="21"/>
      <c r="S42" s="2">
        <v>40</v>
      </c>
      <c r="T42" s="2">
        <f t="shared" si="7"/>
        <v>0.17199999999999999</v>
      </c>
      <c r="U42" s="2">
        <f t="shared" si="7"/>
        <v>9.4E-2</v>
      </c>
      <c r="V42" s="2">
        <f t="shared" si="7"/>
        <v>7.8E-2</v>
      </c>
      <c r="W42" s="2">
        <f t="shared" si="7"/>
        <v>0.125</v>
      </c>
      <c r="X42" s="2">
        <f t="shared" si="7"/>
        <v>7.8E-2</v>
      </c>
      <c r="Y42" s="2">
        <f t="shared" si="7"/>
        <v>7.8E-2</v>
      </c>
      <c r="Z42" s="2">
        <f t="shared" si="7"/>
        <v>6.3E-2</v>
      </c>
      <c r="AA42" s="2">
        <f t="shared" si="7"/>
        <v>7.8E-2</v>
      </c>
      <c r="AB42" s="2">
        <f t="shared" si="7"/>
        <v>0.109</v>
      </c>
      <c r="AC42" s="2">
        <f t="shared" si="7"/>
        <v>0.125</v>
      </c>
      <c r="AD42" s="2">
        <v>1</v>
      </c>
      <c r="AH42" s="21"/>
      <c r="AI42" s="2">
        <v>40</v>
      </c>
      <c r="AJ42" s="2">
        <f t="shared" si="20"/>
        <v>0</v>
      </c>
      <c r="AK42" s="2">
        <f t="shared" si="20"/>
        <v>0</v>
      </c>
      <c r="AL42" s="2">
        <f t="shared" si="20"/>
        <v>0</v>
      </c>
      <c r="AM42" s="2">
        <f t="shared" si="20"/>
        <v>0</v>
      </c>
      <c r="AN42" s="2">
        <f t="shared" si="20"/>
        <v>0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0</v>
      </c>
      <c r="AS42" s="2">
        <f t="shared" si="20"/>
        <v>0</v>
      </c>
      <c r="AT42" s="2">
        <f t="shared" si="20"/>
        <v>0</v>
      </c>
      <c r="AU42" s="2">
        <f t="shared" si="20"/>
        <v>0</v>
      </c>
      <c r="AV42" s="2">
        <f t="shared" si="20"/>
        <v>0</v>
      </c>
      <c r="AW42" s="2">
        <f t="shared" si="20"/>
        <v>0</v>
      </c>
      <c r="AX42" s="2">
        <f t="shared" si="20"/>
        <v>0</v>
      </c>
      <c r="AY42" s="2">
        <f t="shared" ref="AY42:BN46" si="26">COUNTIFS($A$2:$A$65,$AI42,$C$2:$C$65,AY$3)</f>
        <v>0</v>
      </c>
      <c r="AZ42" s="2">
        <f t="shared" si="26"/>
        <v>0</v>
      </c>
      <c r="BA42" s="2">
        <f t="shared" si="26"/>
        <v>0</v>
      </c>
      <c r="BB42" s="2">
        <f t="shared" si="26"/>
        <v>0</v>
      </c>
      <c r="BC42" s="2">
        <f t="shared" si="26"/>
        <v>0</v>
      </c>
      <c r="BD42" s="2">
        <f t="shared" si="26"/>
        <v>0</v>
      </c>
      <c r="BE42" s="2">
        <f t="shared" si="26"/>
        <v>0</v>
      </c>
      <c r="BF42" s="2">
        <f t="shared" si="26"/>
        <v>0</v>
      </c>
      <c r="BG42" s="2">
        <f t="shared" si="26"/>
        <v>0</v>
      </c>
      <c r="BH42" s="2">
        <f t="shared" si="26"/>
        <v>0</v>
      </c>
      <c r="BI42" s="2">
        <f t="shared" si="26"/>
        <v>0</v>
      </c>
      <c r="BJ42" s="2">
        <f t="shared" si="26"/>
        <v>0</v>
      </c>
      <c r="BK42" s="2">
        <f t="shared" si="26"/>
        <v>0</v>
      </c>
      <c r="BL42" s="2">
        <f t="shared" si="26"/>
        <v>0</v>
      </c>
      <c r="BM42" s="2">
        <f t="shared" si="26"/>
        <v>0</v>
      </c>
      <c r="BN42" s="2">
        <f t="shared" si="26"/>
        <v>0</v>
      </c>
      <c r="BO42" s="2">
        <f t="shared" si="23"/>
        <v>0</v>
      </c>
      <c r="BP42" s="2">
        <f t="shared" si="23"/>
        <v>0</v>
      </c>
      <c r="BQ42" s="2">
        <f t="shared" si="23"/>
        <v>0</v>
      </c>
      <c r="BR42" s="2">
        <f t="shared" si="23"/>
        <v>0</v>
      </c>
      <c r="BS42" s="2">
        <f t="shared" si="23"/>
        <v>0</v>
      </c>
      <c r="BT42" s="2">
        <f t="shared" si="23"/>
        <v>0</v>
      </c>
      <c r="BU42" s="2">
        <f t="shared" si="12"/>
        <v>0</v>
      </c>
      <c r="BV42" s="2">
        <f t="shared" si="23"/>
        <v>0</v>
      </c>
      <c r="BW42" s="2">
        <f t="shared" si="23"/>
        <v>0</v>
      </c>
      <c r="BX42" s="2">
        <f t="shared" si="23"/>
        <v>0</v>
      </c>
      <c r="BY42" s="2">
        <f t="shared" si="9"/>
        <v>0</v>
      </c>
      <c r="CB42" s="21"/>
      <c r="CC42" s="2">
        <v>40</v>
      </c>
      <c r="CD42" s="3">
        <f t="shared" si="21"/>
        <v>1.5625E-2</v>
      </c>
      <c r="CE42" s="3">
        <f t="shared" si="25"/>
        <v>1.5625E-2</v>
      </c>
      <c r="CF42" s="3">
        <f t="shared" si="25"/>
        <v>1.5625E-2</v>
      </c>
      <c r="CG42" s="3">
        <f t="shared" si="25"/>
        <v>3.125E-2</v>
      </c>
      <c r="CH42" s="3">
        <f t="shared" si="25"/>
        <v>3.125E-2</v>
      </c>
      <c r="CI42" s="3">
        <f t="shared" si="25"/>
        <v>3.125E-2</v>
      </c>
      <c r="CJ42" s="3">
        <f t="shared" si="25"/>
        <v>1.5625E-2</v>
      </c>
      <c r="CK42" s="3">
        <f t="shared" si="25"/>
        <v>4.6875E-2</v>
      </c>
      <c r="CL42" s="3">
        <f t="shared" si="25"/>
        <v>1.5625E-2</v>
      </c>
      <c r="CM42" s="3">
        <f t="shared" si="25"/>
        <v>3.125E-2</v>
      </c>
      <c r="CN42" s="3">
        <f t="shared" si="25"/>
        <v>3.125E-2</v>
      </c>
      <c r="CO42" s="3">
        <f t="shared" si="25"/>
        <v>1.5625E-2</v>
      </c>
      <c r="CP42" s="3">
        <f t="shared" si="25"/>
        <v>3.125E-2</v>
      </c>
      <c r="CQ42" s="3">
        <f t="shared" si="25"/>
        <v>3.125E-2</v>
      </c>
      <c r="CR42" s="3">
        <f t="shared" si="25"/>
        <v>1.5625E-2</v>
      </c>
      <c r="CS42" s="3">
        <f t="shared" si="25"/>
        <v>4.6875E-2</v>
      </c>
      <c r="CT42" s="3">
        <f t="shared" si="25"/>
        <v>3.125E-2</v>
      </c>
      <c r="CU42" s="3">
        <f t="shared" si="25"/>
        <v>1.5625E-2</v>
      </c>
      <c r="CV42" s="3">
        <f t="shared" si="25"/>
        <v>3.125E-2</v>
      </c>
      <c r="CW42" s="3">
        <f t="shared" si="25"/>
        <v>1.5625E-2</v>
      </c>
      <c r="CX42" s="3">
        <f t="shared" si="25"/>
        <v>1.5625E-2</v>
      </c>
      <c r="CY42" s="3">
        <f t="shared" si="25"/>
        <v>3.125E-2</v>
      </c>
      <c r="CZ42" s="3">
        <f t="shared" si="25"/>
        <v>1.5625E-2</v>
      </c>
      <c r="DA42" s="3">
        <f t="shared" si="25"/>
        <v>1.5625E-2</v>
      </c>
      <c r="DB42" s="3">
        <f t="shared" si="25"/>
        <v>4.6875E-2</v>
      </c>
      <c r="DC42" s="3">
        <f t="shared" si="25"/>
        <v>1.5625E-2</v>
      </c>
      <c r="DD42" s="3">
        <f t="shared" si="25"/>
        <v>4.6875E-2</v>
      </c>
      <c r="DE42" s="3">
        <f t="shared" si="25"/>
        <v>3.125E-2</v>
      </c>
      <c r="DF42" s="3">
        <f t="shared" si="25"/>
        <v>1.5625E-2</v>
      </c>
      <c r="DG42" s="3">
        <f t="shared" si="25"/>
        <v>1.5625E-2</v>
      </c>
      <c r="DH42" s="3">
        <f t="shared" si="25"/>
        <v>4.6875E-2</v>
      </c>
      <c r="DI42" s="3">
        <f t="shared" si="25"/>
        <v>3.125E-2</v>
      </c>
      <c r="DJ42" s="3">
        <f t="shared" si="25"/>
        <v>1.5625E-2</v>
      </c>
      <c r="DK42" s="3">
        <f t="shared" si="25"/>
        <v>1.5625E-2</v>
      </c>
      <c r="DL42" s="3">
        <f t="shared" si="25"/>
        <v>1.5625E-2</v>
      </c>
      <c r="DM42" s="3">
        <f t="shared" si="25"/>
        <v>3.125E-2</v>
      </c>
      <c r="DN42" s="3">
        <f t="shared" si="25"/>
        <v>1.5625E-2</v>
      </c>
      <c r="DO42" s="3">
        <f t="shared" si="25"/>
        <v>1.5625E-2</v>
      </c>
      <c r="DP42" s="3">
        <f t="shared" si="25"/>
        <v>1.5625E-2</v>
      </c>
      <c r="DQ42" s="3">
        <f t="shared" si="25"/>
        <v>1.5625E-2</v>
      </c>
      <c r="DR42" s="3">
        <f t="shared" si="25"/>
        <v>1.5625E-2</v>
      </c>
      <c r="DS42" s="2">
        <v>1</v>
      </c>
    </row>
    <row r="43" spans="1:123" x14ac:dyDescent="0.3">
      <c r="A43" s="2">
        <v>41</v>
      </c>
      <c r="B43" s="4">
        <v>19</v>
      </c>
      <c r="C43" s="6">
        <v>39</v>
      </c>
      <c r="D43" s="21"/>
      <c r="E43" s="2"/>
      <c r="F43" s="2">
        <f t="shared" si="24"/>
        <v>0</v>
      </c>
      <c r="G43" s="2">
        <f t="shared" si="24"/>
        <v>0</v>
      </c>
      <c r="H43" s="2">
        <f t="shared" si="24"/>
        <v>0</v>
      </c>
      <c r="I43" s="2">
        <f t="shared" si="24"/>
        <v>0</v>
      </c>
      <c r="J43" s="2">
        <f t="shared" si="24"/>
        <v>0</v>
      </c>
      <c r="K43" s="2">
        <f t="shared" si="24"/>
        <v>0</v>
      </c>
      <c r="L43" s="2">
        <f t="shared" si="24"/>
        <v>0</v>
      </c>
      <c r="M43" s="2">
        <f t="shared" si="24"/>
        <v>0</v>
      </c>
      <c r="N43" s="2">
        <f t="shared" si="24"/>
        <v>0</v>
      </c>
      <c r="O43" s="2">
        <f t="shared" si="24"/>
        <v>0</v>
      </c>
      <c r="P43" s="2">
        <f t="shared" si="1"/>
        <v>0</v>
      </c>
      <c r="R43" s="21"/>
      <c r="S43" s="2">
        <v>30</v>
      </c>
      <c r="T43" s="2">
        <f t="shared" si="7"/>
        <v>0.17199999999999999</v>
      </c>
      <c r="U43" s="2">
        <f t="shared" si="7"/>
        <v>9.4E-2</v>
      </c>
      <c r="V43" s="2">
        <f t="shared" si="7"/>
        <v>7.8E-2</v>
      </c>
      <c r="W43" s="2">
        <f t="shared" si="7"/>
        <v>0.125</v>
      </c>
      <c r="X43" s="2">
        <f t="shared" si="7"/>
        <v>7.8E-2</v>
      </c>
      <c r="Y43" s="2">
        <f t="shared" si="7"/>
        <v>7.8E-2</v>
      </c>
      <c r="Z43" s="2">
        <f t="shared" si="7"/>
        <v>6.3E-2</v>
      </c>
      <c r="AA43" s="2">
        <f t="shared" si="7"/>
        <v>7.8E-2</v>
      </c>
      <c r="AB43" s="2">
        <f t="shared" si="7"/>
        <v>0.109</v>
      </c>
      <c r="AC43" s="2">
        <f t="shared" si="7"/>
        <v>0.125</v>
      </c>
      <c r="AD43" s="2">
        <v>1</v>
      </c>
      <c r="AH43" s="21"/>
      <c r="AI43" s="2">
        <v>30</v>
      </c>
      <c r="AJ43" s="2">
        <f t="shared" ref="AJ43:AY46" si="27">COUNTIFS($A$2:$A$65,$AI43,$C$2:$C$65,AJ$3)</f>
        <v>0</v>
      </c>
      <c r="AK43" s="2">
        <f t="shared" si="27"/>
        <v>0</v>
      </c>
      <c r="AL43" s="2">
        <f t="shared" si="27"/>
        <v>0</v>
      </c>
      <c r="AM43" s="2">
        <f t="shared" si="27"/>
        <v>0</v>
      </c>
      <c r="AN43" s="2">
        <f t="shared" si="27"/>
        <v>0</v>
      </c>
      <c r="AO43" s="2">
        <f t="shared" si="27"/>
        <v>0</v>
      </c>
      <c r="AP43" s="2">
        <f t="shared" si="27"/>
        <v>1</v>
      </c>
      <c r="AQ43" s="2">
        <f t="shared" si="27"/>
        <v>0</v>
      </c>
      <c r="AR43" s="2">
        <f t="shared" si="27"/>
        <v>0</v>
      </c>
      <c r="AS43" s="2">
        <f t="shared" si="27"/>
        <v>0</v>
      </c>
      <c r="AT43" s="2">
        <f t="shared" si="27"/>
        <v>0</v>
      </c>
      <c r="AU43" s="2">
        <f t="shared" si="27"/>
        <v>0</v>
      </c>
      <c r="AV43" s="2">
        <f t="shared" si="27"/>
        <v>0</v>
      </c>
      <c r="AW43" s="2">
        <f t="shared" si="27"/>
        <v>0</v>
      </c>
      <c r="AX43" s="2">
        <f t="shared" si="27"/>
        <v>0</v>
      </c>
      <c r="AY43" s="2">
        <f t="shared" si="27"/>
        <v>0</v>
      </c>
      <c r="AZ43" s="2">
        <f t="shared" si="26"/>
        <v>0</v>
      </c>
      <c r="BA43" s="2">
        <f t="shared" si="26"/>
        <v>0</v>
      </c>
      <c r="BB43" s="2">
        <f t="shared" si="26"/>
        <v>0</v>
      </c>
      <c r="BC43" s="2">
        <f t="shared" si="26"/>
        <v>0</v>
      </c>
      <c r="BD43" s="2">
        <f t="shared" si="26"/>
        <v>0</v>
      </c>
      <c r="BE43" s="2">
        <f t="shared" si="26"/>
        <v>0</v>
      </c>
      <c r="BF43" s="2">
        <f t="shared" si="26"/>
        <v>0</v>
      </c>
      <c r="BG43" s="2">
        <f t="shared" si="26"/>
        <v>0</v>
      </c>
      <c r="BH43" s="2">
        <f t="shared" si="26"/>
        <v>0</v>
      </c>
      <c r="BI43" s="2">
        <f t="shared" si="26"/>
        <v>0</v>
      </c>
      <c r="BJ43" s="2">
        <f t="shared" si="26"/>
        <v>0</v>
      </c>
      <c r="BK43" s="2">
        <f t="shared" si="26"/>
        <v>0</v>
      </c>
      <c r="BL43" s="2">
        <f t="shared" si="26"/>
        <v>0</v>
      </c>
      <c r="BM43" s="2">
        <f t="shared" si="26"/>
        <v>0</v>
      </c>
      <c r="BN43" s="2">
        <f t="shared" si="26"/>
        <v>0</v>
      </c>
      <c r="BO43" s="2">
        <f t="shared" si="23"/>
        <v>0</v>
      </c>
      <c r="BP43" s="2">
        <f t="shared" si="23"/>
        <v>0</v>
      </c>
      <c r="BQ43" s="2">
        <f t="shared" si="23"/>
        <v>0</v>
      </c>
      <c r="BR43" s="2">
        <f t="shared" si="23"/>
        <v>0</v>
      </c>
      <c r="BS43" s="2">
        <f t="shared" si="23"/>
        <v>0</v>
      </c>
      <c r="BT43" s="2">
        <f t="shared" si="23"/>
        <v>0</v>
      </c>
      <c r="BU43" s="2">
        <f t="shared" si="12"/>
        <v>0</v>
      </c>
      <c r="BV43" s="2">
        <f t="shared" si="23"/>
        <v>0</v>
      </c>
      <c r="BW43" s="2">
        <f t="shared" si="23"/>
        <v>0</v>
      </c>
      <c r="BX43" s="2">
        <f t="shared" si="23"/>
        <v>0</v>
      </c>
      <c r="BY43" s="2">
        <f t="shared" si="9"/>
        <v>1</v>
      </c>
      <c r="CB43" s="21"/>
      <c r="CC43" s="2">
        <v>30</v>
      </c>
      <c r="CD43" s="3">
        <f t="shared" si="21"/>
        <v>1.5625E-2</v>
      </c>
      <c r="CE43" s="3">
        <f t="shared" si="25"/>
        <v>1.5625E-2</v>
      </c>
      <c r="CF43" s="3">
        <f t="shared" si="25"/>
        <v>1.5625E-2</v>
      </c>
      <c r="CG43" s="3">
        <f t="shared" si="25"/>
        <v>3.125E-2</v>
      </c>
      <c r="CH43" s="3">
        <f t="shared" si="25"/>
        <v>3.125E-2</v>
      </c>
      <c r="CI43" s="3">
        <f t="shared" si="25"/>
        <v>3.125E-2</v>
      </c>
      <c r="CJ43" s="3">
        <f t="shared" si="25"/>
        <v>1.5625E-2</v>
      </c>
      <c r="CK43" s="3">
        <f t="shared" si="25"/>
        <v>4.6875E-2</v>
      </c>
      <c r="CL43" s="3">
        <f t="shared" si="25"/>
        <v>1.5625E-2</v>
      </c>
      <c r="CM43" s="3">
        <f t="shared" si="25"/>
        <v>3.125E-2</v>
      </c>
      <c r="CN43" s="3">
        <f t="shared" si="25"/>
        <v>3.125E-2</v>
      </c>
      <c r="CO43" s="3">
        <f t="shared" si="25"/>
        <v>1.5625E-2</v>
      </c>
      <c r="CP43" s="3">
        <f t="shared" si="25"/>
        <v>3.125E-2</v>
      </c>
      <c r="CQ43" s="3">
        <f t="shared" si="25"/>
        <v>3.125E-2</v>
      </c>
      <c r="CR43" s="3">
        <f t="shared" si="25"/>
        <v>1.5625E-2</v>
      </c>
      <c r="CS43" s="3">
        <f t="shared" si="25"/>
        <v>4.6875E-2</v>
      </c>
      <c r="CT43" s="3">
        <f t="shared" si="25"/>
        <v>3.125E-2</v>
      </c>
      <c r="CU43" s="3">
        <f t="shared" si="25"/>
        <v>1.5625E-2</v>
      </c>
      <c r="CV43" s="3">
        <f t="shared" si="25"/>
        <v>3.125E-2</v>
      </c>
      <c r="CW43" s="3">
        <f t="shared" si="25"/>
        <v>1.5625E-2</v>
      </c>
      <c r="CX43" s="3">
        <f t="shared" si="25"/>
        <v>1.5625E-2</v>
      </c>
      <c r="CY43" s="3">
        <f t="shared" si="25"/>
        <v>3.125E-2</v>
      </c>
      <c r="CZ43" s="3">
        <f t="shared" si="25"/>
        <v>1.5625E-2</v>
      </c>
      <c r="DA43" s="3">
        <f t="shared" si="25"/>
        <v>1.5625E-2</v>
      </c>
      <c r="DB43" s="3">
        <f t="shared" si="25"/>
        <v>4.6875E-2</v>
      </c>
      <c r="DC43" s="3">
        <f t="shared" si="25"/>
        <v>1.5625E-2</v>
      </c>
      <c r="DD43" s="3">
        <f t="shared" si="25"/>
        <v>4.6875E-2</v>
      </c>
      <c r="DE43" s="3">
        <f t="shared" si="25"/>
        <v>3.125E-2</v>
      </c>
      <c r="DF43" s="3">
        <f t="shared" si="25"/>
        <v>1.5625E-2</v>
      </c>
      <c r="DG43" s="3">
        <f t="shared" si="25"/>
        <v>1.5625E-2</v>
      </c>
      <c r="DH43" s="3">
        <f t="shared" si="25"/>
        <v>4.6875E-2</v>
      </c>
      <c r="DI43" s="3">
        <f t="shared" si="25"/>
        <v>3.125E-2</v>
      </c>
      <c r="DJ43" s="3">
        <f t="shared" si="25"/>
        <v>1.5625E-2</v>
      </c>
      <c r="DK43" s="3">
        <f t="shared" si="25"/>
        <v>1.5625E-2</v>
      </c>
      <c r="DL43" s="3">
        <f t="shared" si="25"/>
        <v>1.5625E-2</v>
      </c>
      <c r="DM43" s="3">
        <f t="shared" si="25"/>
        <v>3.125E-2</v>
      </c>
      <c r="DN43" s="3">
        <f t="shared" si="25"/>
        <v>1.5625E-2</v>
      </c>
      <c r="DO43" s="3">
        <f t="shared" si="25"/>
        <v>1.5625E-2</v>
      </c>
      <c r="DP43" s="3">
        <f t="shared" si="25"/>
        <v>1.5625E-2</v>
      </c>
      <c r="DQ43" s="3">
        <f t="shared" si="25"/>
        <v>1.5625E-2</v>
      </c>
      <c r="DR43" s="3">
        <f t="shared" si="25"/>
        <v>1.5625E-2</v>
      </c>
      <c r="DS43" s="2">
        <v>1</v>
      </c>
    </row>
    <row r="44" spans="1:123" x14ac:dyDescent="0.3">
      <c r="A44" s="2">
        <v>39</v>
      </c>
      <c r="B44" s="4">
        <v>14</v>
      </c>
      <c r="C44" s="6">
        <v>38</v>
      </c>
      <c r="D44" s="21"/>
      <c r="E44" s="2"/>
      <c r="F44" s="2">
        <f t="shared" si="24"/>
        <v>0</v>
      </c>
      <c r="G44" s="2">
        <f t="shared" si="24"/>
        <v>0</v>
      </c>
      <c r="H44" s="2">
        <f t="shared" si="24"/>
        <v>0</v>
      </c>
      <c r="I44" s="2">
        <f t="shared" si="24"/>
        <v>0</v>
      </c>
      <c r="J44" s="2">
        <f t="shared" si="24"/>
        <v>0</v>
      </c>
      <c r="K44" s="2">
        <f t="shared" si="24"/>
        <v>0</v>
      </c>
      <c r="L44" s="2">
        <f t="shared" si="24"/>
        <v>0</v>
      </c>
      <c r="M44" s="2">
        <f t="shared" si="24"/>
        <v>0</v>
      </c>
      <c r="N44" s="2">
        <f t="shared" si="24"/>
        <v>0</v>
      </c>
      <c r="O44" s="2">
        <f t="shared" si="24"/>
        <v>0</v>
      </c>
      <c r="P44" s="2">
        <f t="shared" si="1"/>
        <v>0</v>
      </c>
      <c r="R44" s="21"/>
      <c r="S44" s="2">
        <v>73</v>
      </c>
      <c r="T44" s="2">
        <f t="shared" ref="T44:AC46" si="28">ROUND($AD44*T$47/$AD$47,3)</f>
        <v>0.17199999999999999</v>
      </c>
      <c r="U44" s="2">
        <f t="shared" si="28"/>
        <v>9.4E-2</v>
      </c>
      <c r="V44" s="2">
        <f t="shared" si="28"/>
        <v>7.8E-2</v>
      </c>
      <c r="W44" s="2">
        <f t="shared" si="28"/>
        <v>0.125</v>
      </c>
      <c r="X44" s="2">
        <f t="shared" si="28"/>
        <v>7.8E-2</v>
      </c>
      <c r="Y44" s="2">
        <f t="shared" si="28"/>
        <v>7.8E-2</v>
      </c>
      <c r="Z44" s="2">
        <f t="shared" si="28"/>
        <v>6.3E-2</v>
      </c>
      <c r="AA44" s="2">
        <f t="shared" si="28"/>
        <v>7.8E-2</v>
      </c>
      <c r="AB44" s="2">
        <f t="shared" si="28"/>
        <v>0.109</v>
      </c>
      <c r="AC44" s="2">
        <f t="shared" si="28"/>
        <v>0.125</v>
      </c>
      <c r="AD44" s="2">
        <v>1</v>
      </c>
      <c r="AH44" s="21"/>
      <c r="AI44" s="2">
        <v>73</v>
      </c>
      <c r="AJ44" s="2">
        <f t="shared" si="27"/>
        <v>0</v>
      </c>
      <c r="AK44" s="2">
        <f t="shared" si="27"/>
        <v>0</v>
      </c>
      <c r="AL44" s="2">
        <f t="shared" si="27"/>
        <v>1</v>
      </c>
      <c r="AM44" s="2">
        <f t="shared" si="27"/>
        <v>0</v>
      </c>
      <c r="AN44" s="2">
        <f t="shared" si="27"/>
        <v>0</v>
      </c>
      <c r="AO44" s="2">
        <f t="shared" si="27"/>
        <v>0</v>
      </c>
      <c r="AP44" s="2">
        <f t="shared" si="27"/>
        <v>0</v>
      </c>
      <c r="AQ44" s="2">
        <f t="shared" si="27"/>
        <v>1</v>
      </c>
      <c r="AR44" s="2">
        <f t="shared" si="27"/>
        <v>0</v>
      </c>
      <c r="AS44" s="2">
        <f t="shared" si="27"/>
        <v>0</v>
      </c>
      <c r="AT44" s="2">
        <f t="shared" si="27"/>
        <v>0</v>
      </c>
      <c r="AU44" s="2">
        <f t="shared" si="27"/>
        <v>0</v>
      </c>
      <c r="AV44" s="2">
        <f t="shared" si="27"/>
        <v>0</v>
      </c>
      <c r="AW44" s="2">
        <f t="shared" si="27"/>
        <v>0</v>
      </c>
      <c r="AX44" s="2">
        <f t="shared" si="27"/>
        <v>0</v>
      </c>
      <c r="AY44" s="2">
        <f t="shared" si="27"/>
        <v>0</v>
      </c>
      <c r="AZ44" s="2">
        <f t="shared" si="26"/>
        <v>0</v>
      </c>
      <c r="BA44" s="2">
        <f t="shared" si="26"/>
        <v>0</v>
      </c>
      <c r="BB44" s="2">
        <f t="shared" si="26"/>
        <v>0</v>
      </c>
      <c r="BC44" s="2">
        <f t="shared" si="26"/>
        <v>0</v>
      </c>
      <c r="BD44" s="2">
        <f t="shared" si="26"/>
        <v>0</v>
      </c>
      <c r="BE44" s="2">
        <f t="shared" si="26"/>
        <v>0</v>
      </c>
      <c r="BF44" s="2">
        <f t="shared" si="26"/>
        <v>0</v>
      </c>
      <c r="BG44" s="2">
        <f t="shared" si="26"/>
        <v>0</v>
      </c>
      <c r="BH44" s="2">
        <f t="shared" si="26"/>
        <v>0</v>
      </c>
      <c r="BI44" s="2">
        <f t="shared" si="26"/>
        <v>0</v>
      </c>
      <c r="BJ44" s="2">
        <f t="shared" si="26"/>
        <v>0</v>
      </c>
      <c r="BK44" s="2">
        <f t="shared" si="26"/>
        <v>0</v>
      </c>
      <c r="BL44" s="2">
        <f t="shared" si="26"/>
        <v>0</v>
      </c>
      <c r="BM44" s="2">
        <f t="shared" si="26"/>
        <v>0</v>
      </c>
      <c r="BN44" s="2">
        <f t="shared" si="26"/>
        <v>0</v>
      </c>
      <c r="BO44" s="2">
        <f t="shared" si="23"/>
        <v>0</v>
      </c>
      <c r="BP44" s="2">
        <f t="shared" si="23"/>
        <v>0</v>
      </c>
      <c r="BQ44" s="2">
        <f t="shared" si="23"/>
        <v>0</v>
      </c>
      <c r="BR44" s="2">
        <f t="shared" si="23"/>
        <v>0</v>
      </c>
      <c r="BS44" s="2">
        <f t="shared" si="23"/>
        <v>0</v>
      </c>
      <c r="BT44" s="2">
        <f t="shared" si="23"/>
        <v>0</v>
      </c>
      <c r="BU44" s="2">
        <f t="shared" si="12"/>
        <v>1</v>
      </c>
      <c r="BV44" s="2">
        <f t="shared" si="23"/>
        <v>0</v>
      </c>
      <c r="BW44" s="2">
        <f t="shared" si="23"/>
        <v>0</v>
      </c>
      <c r="BX44" s="2">
        <f t="shared" si="23"/>
        <v>0</v>
      </c>
      <c r="BY44" s="2">
        <f t="shared" si="9"/>
        <v>3</v>
      </c>
      <c r="CB44" s="21"/>
      <c r="CC44" s="2">
        <v>73</v>
      </c>
      <c r="CD44" s="3">
        <f t="shared" si="21"/>
        <v>1.5625E-2</v>
      </c>
      <c r="CE44" s="3">
        <f t="shared" si="25"/>
        <v>1.5625E-2</v>
      </c>
      <c r="CF44" s="3">
        <f t="shared" si="25"/>
        <v>1.5625E-2</v>
      </c>
      <c r="CG44" s="3">
        <f t="shared" si="25"/>
        <v>3.125E-2</v>
      </c>
      <c r="CH44" s="3">
        <f t="shared" si="25"/>
        <v>3.125E-2</v>
      </c>
      <c r="CI44" s="3">
        <f t="shared" si="25"/>
        <v>3.125E-2</v>
      </c>
      <c r="CJ44" s="3">
        <f t="shared" si="25"/>
        <v>1.5625E-2</v>
      </c>
      <c r="CK44" s="3">
        <f t="shared" si="25"/>
        <v>4.6875E-2</v>
      </c>
      <c r="CL44" s="3">
        <f t="shared" si="25"/>
        <v>1.5625E-2</v>
      </c>
      <c r="CM44" s="3">
        <f t="shared" si="25"/>
        <v>3.125E-2</v>
      </c>
      <c r="CN44" s="3">
        <f t="shared" si="25"/>
        <v>3.125E-2</v>
      </c>
      <c r="CO44" s="3">
        <f t="shared" si="25"/>
        <v>1.5625E-2</v>
      </c>
      <c r="CP44" s="3">
        <f t="shared" si="25"/>
        <v>3.125E-2</v>
      </c>
      <c r="CQ44" s="3">
        <f t="shared" si="25"/>
        <v>3.125E-2</v>
      </c>
      <c r="CR44" s="3">
        <f t="shared" si="25"/>
        <v>1.5625E-2</v>
      </c>
      <c r="CS44" s="3">
        <f t="shared" si="25"/>
        <v>4.6875E-2</v>
      </c>
      <c r="CT44" s="3">
        <f t="shared" si="25"/>
        <v>3.125E-2</v>
      </c>
      <c r="CU44" s="3">
        <f t="shared" si="25"/>
        <v>1.5625E-2</v>
      </c>
      <c r="CV44" s="3">
        <f t="shared" si="25"/>
        <v>3.125E-2</v>
      </c>
      <c r="CW44" s="3">
        <f t="shared" si="25"/>
        <v>1.5625E-2</v>
      </c>
      <c r="CX44" s="3">
        <f t="shared" si="25"/>
        <v>1.5625E-2</v>
      </c>
      <c r="CY44" s="3">
        <f t="shared" si="25"/>
        <v>3.125E-2</v>
      </c>
      <c r="CZ44" s="3">
        <f t="shared" si="25"/>
        <v>1.5625E-2</v>
      </c>
      <c r="DA44" s="3">
        <f t="shared" si="25"/>
        <v>1.5625E-2</v>
      </c>
      <c r="DB44" s="3">
        <f t="shared" si="25"/>
        <v>4.6875E-2</v>
      </c>
      <c r="DC44" s="3">
        <f t="shared" si="25"/>
        <v>1.5625E-2</v>
      </c>
      <c r="DD44" s="3">
        <f t="shared" si="25"/>
        <v>4.6875E-2</v>
      </c>
      <c r="DE44" s="3">
        <f t="shared" si="25"/>
        <v>3.125E-2</v>
      </c>
      <c r="DF44" s="3">
        <f t="shared" si="25"/>
        <v>1.5625E-2</v>
      </c>
      <c r="DG44" s="3">
        <f t="shared" si="25"/>
        <v>1.5625E-2</v>
      </c>
      <c r="DH44" s="3">
        <f t="shared" si="25"/>
        <v>4.6875E-2</v>
      </c>
      <c r="DI44" s="3">
        <f t="shared" si="25"/>
        <v>3.125E-2</v>
      </c>
      <c r="DJ44" s="3">
        <f t="shared" si="25"/>
        <v>1.5625E-2</v>
      </c>
      <c r="DK44" s="3">
        <f t="shared" si="25"/>
        <v>1.5625E-2</v>
      </c>
      <c r="DL44" s="3">
        <f t="shared" si="25"/>
        <v>1.5625E-2</v>
      </c>
      <c r="DM44" s="3">
        <f t="shared" si="25"/>
        <v>3.125E-2</v>
      </c>
      <c r="DN44" s="3">
        <f t="shared" si="25"/>
        <v>1.5625E-2</v>
      </c>
      <c r="DO44" s="3">
        <f t="shared" si="25"/>
        <v>1.5625E-2</v>
      </c>
      <c r="DP44" s="3">
        <f t="shared" si="25"/>
        <v>1.5625E-2</v>
      </c>
      <c r="DQ44" s="3">
        <f t="shared" si="25"/>
        <v>1.5625E-2</v>
      </c>
      <c r="DR44" s="3">
        <f t="shared" si="25"/>
        <v>1.5625E-2</v>
      </c>
      <c r="DS44" s="2">
        <v>1</v>
      </c>
    </row>
    <row r="45" spans="1:123" x14ac:dyDescent="0.3">
      <c r="A45" s="2">
        <v>61</v>
      </c>
      <c r="B45" s="4">
        <v>16</v>
      </c>
      <c r="C45" s="6">
        <v>55</v>
      </c>
      <c r="D45" s="21"/>
      <c r="E45" s="2"/>
      <c r="F45" s="2">
        <f t="shared" si="24"/>
        <v>0</v>
      </c>
      <c r="G45" s="2">
        <f t="shared" si="24"/>
        <v>0</v>
      </c>
      <c r="H45" s="2">
        <f t="shared" si="24"/>
        <v>0</v>
      </c>
      <c r="I45" s="2">
        <f t="shared" si="24"/>
        <v>0</v>
      </c>
      <c r="J45" s="2">
        <f t="shared" si="24"/>
        <v>0</v>
      </c>
      <c r="K45" s="2">
        <f t="shared" si="24"/>
        <v>0</v>
      </c>
      <c r="L45" s="2">
        <f t="shared" si="24"/>
        <v>0</v>
      </c>
      <c r="M45" s="2">
        <f t="shared" si="24"/>
        <v>0</v>
      </c>
      <c r="N45" s="2">
        <f t="shared" si="24"/>
        <v>0</v>
      </c>
      <c r="O45" s="2">
        <f t="shared" si="24"/>
        <v>0</v>
      </c>
      <c r="P45" s="2">
        <f t="shared" si="1"/>
        <v>0</v>
      </c>
      <c r="R45" s="21"/>
      <c r="S45" s="2">
        <v>28</v>
      </c>
      <c r="T45" s="2">
        <f t="shared" si="28"/>
        <v>0.17199999999999999</v>
      </c>
      <c r="U45" s="2">
        <f t="shared" si="28"/>
        <v>9.4E-2</v>
      </c>
      <c r="V45" s="2">
        <f t="shared" si="28"/>
        <v>7.8E-2</v>
      </c>
      <c r="W45" s="2">
        <f t="shared" si="28"/>
        <v>0.125</v>
      </c>
      <c r="X45" s="2">
        <f t="shared" si="28"/>
        <v>7.8E-2</v>
      </c>
      <c r="Y45" s="2">
        <f t="shared" si="28"/>
        <v>7.8E-2</v>
      </c>
      <c r="Z45" s="2">
        <f t="shared" si="28"/>
        <v>6.3E-2</v>
      </c>
      <c r="AA45" s="2">
        <f t="shared" si="28"/>
        <v>7.8E-2</v>
      </c>
      <c r="AB45" s="2">
        <f t="shared" si="28"/>
        <v>0.109</v>
      </c>
      <c r="AC45" s="2">
        <f t="shared" si="28"/>
        <v>0.125</v>
      </c>
      <c r="AD45" s="2">
        <v>1</v>
      </c>
      <c r="AH45" s="21"/>
      <c r="AI45" s="2">
        <v>28</v>
      </c>
      <c r="AJ45" s="2">
        <f t="shared" si="27"/>
        <v>0</v>
      </c>
      <c r="AK45" s="2">
        <f t="shared" si="27"/>
        <v>0</v>
      </c>
      <c r="AL45" s="2">
        <f t="shared" si="27"/>
        <v>0</v>
      </c>
      <c r="AM45" s="2">
        <f t="shared" si="27"/>
        <v>0</v>
      </c>
      <c r="AN45" s="2">
        <f t="shared" si="27"/>
        <v>0</v>
      </c>
      <c r="AO45" s="2">
        <f t="shared" si="27"/>
        <v>0</v>
      </c>
      <c r="AP45" s="2">
        <f t="shared" si="27"/>
        <v>0</v>
      </c>
      <c r="AQ45" s="2">
        <f t="shared" si="27"/>
        <v>0</v>
      </c>
      <c r="AR45" s="2">
        <f t="shared" si="27"/>
        <v>0</v>
      </c>
      <c r="AS45" s="2">
        <f t="shared" si="27"/>
        <v>0</v>
      </c>
      <c r="AT45" s="2">
        <f t="shared" si="27"/>
        <v>0</v>
      </c>
      <c r="AU45" s="2">
        <f t="shared" si="27"/>
        <v>0</v>
      </c>
      <c r="AV45" s="2">
        <f t="shared" si="27"/>
        <v>0</v>
      </c>
      <c r="AW45" s="2">
        <f t="shared" si="27"/>
        <v>0</v>
      </c>
      <c r="AX45" s="2">
        <f t="shared" si="27"/>
        <v>0</v>
      </c>
      <c r="AY45" s="2">
        <f t="shared" si="27"/>
        <v>0</v>
      </c>
      <c r="AZ45" s="2">
        <f t="shared" si="26"/>
        <v>0</v>
      </c>
      <c r="BA45" s="2">
        <f t="shared" si="26"/>
        <v>0</v>
      </c>
      <c r="BB45" s="2">
        <f t="shared" si="26"/>
        <v>0</v>
      </c>
      <c r="BC45" s="2">
        <f t="shared" si="26"/>
        <v>0</v>
      </c>
      <c r="BD45" s="2">
        <f t="shared" si="26"/>
        <v>0</v>
      </c>
      <c r="BE45" s="2">
        <f t="shared" si="26"/>
        <v>0</v>
      </c>
      <c r="BF45" s="2">
        <f t="shared" si="26"/>
        <v>0</v>
      </c>
      <c r="BG45" s="2">
        <f t="shared" si="26"/>
        <v>0</v>
      </c>
      <c r="BH45" s="2">
        <f t="shared" si="26"/>
        <v>0</v>
      </c>
      <c r="BI45" s="2">
        <f t="shared" si="26"/>
        <v>0</v>
      </c>
      <c r="BJ45" s="2">
        <f t="shared" si="26"/>
        <v>0</v>
      </c>
      <c r="BK45" s="2">
        <f t="shared" si="26"/>
        <v>0</v>
      </c>
      <c r="BL45" s="2">
        <f t="shared" si="26"/>
        <v>0</v>
      </c>
      <c r="BM45" s="2">
        <f t="shared" si="26"/>
        <v>0</v>
      </c>
      <c r="BN45" s="2">
        <f t="shared" si="26"/>
        <v>0</v>
      </c>
      <c r="BO45" s="2">
        <f t="shared" si="23"/>
        <v>0</v>
      </c>
      <c r="BP45" s="2">
        <f t="shared" si="23"/>
        <v>0</v>
      </c>
      <c r="BQ45" s="2">
        <f t="shared" si="23"/>
        <v>0</v>
      </c>
      <c r="BR45" s="2">
        <f t="shared" si="23"/>
        <v>0</v>
      </c>
      <c r="BS45" s="2">
        <f t="shared" si="23"/>
        <v>0</v>
      </c>
      <c r="BT45" s="2">
        <f t="shared" si="23"/>
        <v>0</v>
      </c>
      <c r="BU45" s="2">
        <f t="shared" si="12"/>
        <v>0</v>
      </c>
      <c r="BV45" s="2">
        <f t="shared" si="23"/>
        <v>0</v>
      </c>
      <c r="BW45" s="2">
        <f t="shared" si="23"/>
        <v>0</v>
      </c>
      <c r="BX45" s="2">
        <f t="shared" si="23"/>
        <v>0</v>
      </c>
      <c r="BY45" s="2">
        <f t="shared" si="9"/>
        <v>0</v>
      </c>
      <c r="CB45" s="21"/>
      <c r="CC45" s="2">
        <v>28</v>
      </c>
      <c r="CD45" s="3">
        <f t="shared" si="21"/>
        <v>1.5625E-2</v>
      </c>
      <c r="CE45" s="3">
        <f t="shared" si="25"/>
        <v>1.5625E-2</v>
      </c>
      <c r="CF45" s="3">
        <f t="shared" si="25"/>
        <v>1.5625E-2</v>
      </c>
      <c r="CG45" s="3">
        <f t="shared" si="25"/>
        <v>3.125E-2</v>
      </c>
      <c r="CH45" s="3">
        <f t="shared" si="25"/>
        <v>3.125E-2</v>
      </c>
      <c r="CI45" s="3">
        <f t="shared" si="25"/>
        <v>3.125E-2</v>
      </c>
      <c r="CJ45" s="3">
        <f t="shared" si="25"/>
        <v>1.5625E-2</v>
      </c>
      <c r="CK45" s="3">
        <f t="shared" si="25"/>
        <v>4.6875E-2</v>
      </c>
      <c r="CL45" s="3">
        <f t="shared" si="25"/>
        <v>1.5625E-2</v>
      </c>
      <c r="CM45" s="3">
        <f t="shared" si="25"/>
        <v>3.125E-2</v>
      </c>
      <c r="CN45" s="3">
        <f t="shared" si="25"/>
        <v>3.125E-2</v>
      </c>
      <c r="CO45" s="3">
        <f t="shared" si="25"/>
        <v>1.5625E-2</v>
      </c>
      <c r="CP45" s="3">
        <f t="shared" si="25"/>
        <v>3.125E-2</v>
      </c>
      <c r="CQ45" s="3">
        <f t="shared" si="25"/>
        <v>3.125E-2</v>
      </c>
      <c r="CR45" s="3">
        <f t="shared" si="25"/>
        <v>1.5625E-2</v>
      </c>
      <c r="CS45" s="3">
        <f t="shared" si="25"/>
        <v>4.6875E-2</v>
      </c>
      <c r="CT45" s="3">
        <f t="shared" si="25"/>
        <v>3.125E-2</v>
      </c>
      <c r="CU45" s="3">
        <f t="shared" si="25"/>
        <v>1.5625E-2</v>
      </c>
      <c r="CV45" s="3">
        <f t="shared" si="25"/>
        <v>3.125E-2</v>
      </c>
      <c r="CW45" s="3">
        <f t="shared" si="25"/>
        <v>1.5625E-2</v>
      </c>
      <c r="CX45" s="3">
        <f t="shared" si="25"/>
        <v>1.5625E-2</v>
      </c>
      <c r="CY45" s="3">
        <f t="shared" si="25"/>
        <v>3.125E-2</v>
      </c>
      <c r="CZ45" s="3">
        <f t="shared" si="25"/>
        <v>1.5625E-2</v>
      </c>
      <c r="DA45" s="3">
        <f t="shared" si="25"/>
        <v>1.5625E-2</v>
      </c>
      <c r="DB45" s="3">
        <f t="shared" si="25"/>
        <v>4.6875E-2</v>
      </c>
      <c r="DC45" s="3">
        <f t="shared" si="25"/>
        <v>1.5625E-2</v>
      </c>
      <c r="DD45" s="3">
        <f t="shared" si="25"/>
        <v>4.6875E-2</v>
      </c>
      <c r="DE45" s="3">
        <f t="shared" si="25"/>
        <v>3.125E-2</v>
      </c>
      <c r="DF45" s="3">
        <f t="shared" si="25"/>
        <v>1.5625E-2</v>
      </c>
      <c r="DG45" s="3">
        <f t="shared" si="25"/>
        <v>1.5625E-2</v>
      </c>
      <c r="DH45" s="3">
        <f t="shared" si="25"/>
        <v>4.6875E-2</v>
      </c>
      <c r="DI45" s="3">
        <f t="shared" si="25"/>
        <v>3.125E-2</v>
      </c>
      <c r="DJ45" s="3">
        <f t="shared" si="25"/>
        <v>1.5625E-2</v>
      </c>
      <c r="DK45" s="3">
        <f t="shared" si="25"/>
        <v>1.5625E-2</v>
      </c>
      <c r="DL45" s="3">
        <f t="shared" si="25"/>
        <v>1.5625E-2</v>
      </c>
      <c r="DM45" s="3">
        <f t="shared" si="25"/>
        <v>3.125E-2</v>
      </c>
      <c r="DN45" s="3">
        <f t="shared" si="25"/>
        <v>1.5625E-2</v>
      </c>
      <c r="DO45" s="3">
        <f t="shared" si="25"/>
        <v>1.5625E-2</v>
      </c>
      <c r="DP45" s="3">
        <f t="shared" si="25"/>
        <v>1.5625E-2</v>
      </c>
      <c r="DQ45" s="3">
        <f t="shared" si="25"/>
        <v>1.5625E-2</v>
      </c>
      <c r="DR45" s="3">
        <f t="shared" si="25"/>
        <v>1.5625E-2</v>
      </c>
      <c r="DS45" s="2">
        <v>1</v>
      </c>
    </row>
    <row r="46" spans="1:123" ht="15" thickBot="1" x14ac:dyDescent="0.35">
      <c r="A46" s="2">
        <v>58</v>
      </c>
      <c r="B46" s="4">
        <v>17</v>
      </c>
      <c r="C46" s="6">
        <v>61</v>
      </c>
      <c r="D46" s="22"/>
      <c r="E46" s="2"/>
      <c r="F46" s="2">
        <f t="shared" si="24"/>
        <v>0</v>
      </c>
      <c r="G46" s="2">
        <f t="shared" si="24"/>
        <v>0</v>
      </c>
      <c r="H46" s="2">
        <f t="shared" si="24"/>
        <v>0</v>
      </c>
      <c r="I46" s="2">
        <f t="shared" si="24"/>
        <v>0</v>
      </c>
      <c r="J46" s="2">
        <f t="shared" si="24"/>
        <v>0</v>
      </c>
      <c r="K46" s="2">
        <f t="shared" si="24"/>
        <v>0</v>
      </c>
      <c r="L46" s="2">
        <f t="shared" si="24"/>
        <v>0</v>
      </c>
      <c r="M46" s="2">
        <f t="shared" si="24"/>
        <v>0</v>
      </c>
      <c r="N46" s="2">
        <f t="shared" si="24"/>
        <v>0</v>
      </c>
      <c r="O46" s="2">
        <f t="shared" si="24"/>
        <v>0</v>
      </c>
      <c r="P46" s="2">
        <f t="shared" si="1"/>
        <v>0</v>
      </c>
      <c r="R46" s="22"/>
      <c r="S46" s="2">
        <v>67</v>
      </c>
      <c r="T46" s="2">
        <f t="shared" si="28"/>
        <v>0.17199999999999999</v>
      </c>
      <c r="U46" s="2">
        <f t="shared" si="28"/>
        <v>9.4E-2</v>
      </c>
      <c r="V46" s="2">
        <f t="shared" si="28"/>
        <v>7.8E-2</v>
      </c>
      <c r="W46" s="2">
        <f t="shared" si="28"/>
        <v>0.125</v>
      </c>
      <c r="X46" s="2">
        <f t="shared" si="28"/>
        <v>7.8E-2</v>
      </c>
      <c r="Y46" s="2">
        <f t="shared" si="28"/>
        <v>7.8E-2</v>
      </c>
      <c r="Z46" s="2">
        <f t="shared" si="28"/>
        <v>6.3E-2</v>
      </c>
      <c r="AA46" s="2">
        <f t="shared" si="28"/>
        <v>7.8E-2</v>
      </c>
      <c r="AB46" s="2">
        <f t="shared" si="28"/>
        <v>0.109</v>
      </c>
      <c r="AC46" s="2">
        <f>ROUND($AD46*AC$47/$AD$47,3)</f>
        <v>0.125</v>
      </c>
      <c r="AD46" s="2">
        <v>1</v>
      </c>
      <c r="AH46" s="22"/>
      <c r="AI46" s="2">
        <v>67</v>
      </c>
      <c r="AJ46" s="2">
        <f>COUNTIFS($A$2:$A$65,$AI46,$C$2:$C$65,AJ$3)</f>
        <v>0</v>
      </c>
      <c r="AK46" s="2">
        <f t="shared" si="27"/>
        <v>0</v>
      </c>
      <c r="AL46" s="2">
        <f t="shared" si="27"/>
        <v>0</v>
      </c>
      <c r="AM46" s="2">
        <f t="shared" si="27"/>
        <v>0</v>
      </c>
      <c r="AN46" s="2">
        <f t="shared" si="27"/>
        <v>0</v>
      </c>
      <c r="AO46" s="2">
        <f t="shared" si="27"/>
        <v>0</v>
      </c>
      <c r="AP46" s="2">
        <f t="shared" si="27"/>
        <v>0</v>
      </c>
      <c r="AQ46" s="2">
        <f t="shared" si="27"/>
        <v>0</v>
      </c>
      <c r="AR46" s="2">
        <f t="shared" si="27"/>
        <v>0</v>
      </c>
      <c r="AS46" s="2">
        <f t="shared" si="27"/>
        <v>0</v>
      </c>
      <c r="AT46" s="2">
        <f t="shared" si="27"/>
        <v>0</v>
      </c>
      <c r="AU46" s="2">
        <f t="shared" si="27"/>
        <v>0</v>
      </c>
      <c r="AV46" s="2">
        <f t="shared" si="27"/>
        <v>0</v>
      </c>
      <c r="AW46" s="2">
        <f t="shared" si="27"/>
        <v>0</v>
      </c>
      <c r="AX46" s="2">
        <f t="shared" si="27"/>
        <v>0</v>
      </c>
      <c r="AY46" s="2">
        <f t="shared" si="27"/>
        <v>0</v>
      </c>
      <c r="AZ46" s="2">
        <f t="shared" si="26"/>
        <v>0</v>
      </c>
      <c r="BA46" s="2">
        <f t="shared" si="26"/>
        <v>0</v>
      </c>
      <c r="BB46" s="2">
        <f t="shared" si="26"/>
        <v>0</v>
      </c>
      <c r="BC46" s="2">
        <f t="shared" si="26"/>
        <v>0</v>
      </c>
      <c r="BD46" s="2">
        <f t="shared" si="26"/>
        <v>0</v>
      </c>
      <c r="BE46" s="2">
        <f t="shared" si="26"/>
        <v>0</v>
      </c>
      <c r="BF46" s="2">
        <f t="shared" si="26"/>
        <v>1</v>
      </c>
      <c r="BG46" s="2">
        <f t="shared" si="26"/>
        <v>0</v>
      </c>
      <c r="BH46" s="2">
        <f t="shared" si="26"/>
        <v>0</v>
      </c>
      <c r="BI46" s="2">
        <f t="shared" si="26"/>
        <v>0</v>
      </c>
      <c r="BJ46" s="2">
        <f t="shared" si="26"/>
        <v>0</v>
      </c>
      <c r="BK46" s="2">
        <f t="shared" si="26"/>
        <v>0</v>
      </c>
      <c r="BL46" s="2">
        <f t="shared" si="26"/>
        <v>0</v>
      </c>
      <c r="BM46" s="2">
        <f t="shared" si="26"/>
        <v>0</v>
      </c>
      <c r="BN46" s="2">
        <f t="shared" si="26"/>
        <v>0</v>
      </c>
      <c r="BO46" s="2">
        <f t="shared" ref="BO46:BX46" si="29">COUNTIFS($A$2:$A$65,$AI46,$C$2:$C$65,BO$3)</f>
        <v>0</v>
      </c>
      <c r="BP46" s="2">
        <f t="shared" si="29"/>
        <v>0</v>
      </c>
      <c r="BQ46" s="2">
        <f t="shared" si="29"/>
        <v>0</v>
      </c>
      <c r="BR46" s="2">
        <f t="shared" si="29"/>
        <v>0</v>
      </c>
      <c r="BS46" s="2">
        <f t="shared" si="29"/>
        <v>0</v>
      </c>
      <c r="BT46" s="2">
        <f t="shared" si="29"/>
        <v>0</v>
      </c>
      <c r="BU46" s="2">
        <f>COUNTIFS($A$2:$A$65,$AI46,$C$2:$C$65,BU$3)</f>
        <v>0</v>
      </c>
      <c r="BV46" s="2">
        <f t="shared" si="29"/>
        <v>0</v>
      </c>
      <c r="BW46" s="2">
        <f t="shared" si="29"/>
        <v>0</v>
      </c>
      <c r="BX46" s="2">
        <f t="shared" si="29"/>
        <v>0</v>
      </c>
      <c r="BY46" s="2">
        <f t="shared" si="9"/>
        <v>1</v>
      </c>
      <c r="CB46" s="22"/>
      <c r="CC46" s="2">
        <v>67</v>
      </c>
      <c r="CD46" s="3">
        <f t="shared" si="21"/>
        <v>1.5625E-2</v>
      </c>
      <c r="CE46" s="3">
        <f t="shared" si="25"/>
        <v>1.5625E-2</v>
      </c>
      <c r="CF46" s="3">
        <f t="shared" si="25"/>
        <v>1.5625E-2</v>
      </c>
      <c r="CG46" s="3">
        <f t="shared" si="25"/>
        <v>3.125E-2</v>
      </c>
      <c r="CH46" s="3">
        <f t="shared" si="25"/>
        <v>3.125E-2</v>
      </c>
      <c r="CI46" s="3">
        <f t="shared" si="25"/>
        <v>3.125E-2</v>
      </c>
      <c r="CJ46" s="3">
        <f t="shared" si="25"/>
        <v>1.5625E-2</v>
      </c>
      <c r="CK46" s="3">
        <f t="shared" si="25"/>
        <v>4.6875E-2</v>
      </c>
      <c r="CL46" s="3">
        <f t="shared" si="25"/>
        <v>1.5625E-2</v>
      </c>
      <c r="CM46" s="3">
        <f t="shared" si="25"/>
        <v>3.125E-2</v>
      </c>
      <c r="CN46" s="3">
        <f t="shared" si="25"/>
        <v>3.125E-2</v>
      </c>
      <c r="CO46" s="3">
        <f t="shared" si="25"/>
        <v>1.5625E-2</v>
      </c>
      <c r="CP46" s="3">
        <f t="shared" si="25"/>
        <v>3.125E-2</v>
      </c>
      <c r="CQ46" s="3">
        <f t="shared" si="25"/>
        <v>3.125E-2</v>
      </c>
      <c r="CR46" s="3">
        <f t="shared" si="25"/>
        <v>1.5625E-2</v>
      </c>
      <c r="CS46" s="3">
        <f t="shared" si="25"/>
        <v>4.6875E-2</v>
      </c>
      <c r="CT46" s="3">
        <f t="shared" si="25"/>
        <v>3.125E-2</v>
      </c>
      <c r="CU46" s="3">
        <f t="shared" si="25"/>
        <v>1.5625E-2</v>
      </c>
      <c r="CV46" s="3">
        <f t="shared" si="25"/>
        <v>3.125E-2</v>
      </c>
      <c r="CW46" s="3">
        <f t="shared" si="25"/>
        <v>1.5625E-2</v>
      </c>
      <c r="CX46" s="3">
        <f t="shared" si="25"/>
        <v>1.5625E-2</v>
      </c>
      <c r="CY46" s="3">
        <f t="shared" si="25"/>
        <v>3.125E-2</v>
      </c>
      <c r="CZ46" s="3">
        <f t="shared" si="25"/>
        <v>1.5625E-2</v>
      </c>
      <c r="DA46" s="3">
        <f t="shared" si="25"/>
        <v>1.5625E-2</v>
      </c>
      <c r="DB46" s="3">
        <f t="shared" si="25"/>
        <v>4.6875E-2</v>
      </c>
      <c r="DC46" s="3">
        <f t="shared" si="25"/>
        <v>1.5625E-2</v>
      </c>
      <c r="DD46" s="3">
        <f t="shared" si="25"/>
        <v>4.6875E-2</v>
      </c>
      <c r="DE46" s="3">
        <f t="shared" si="25"/>
        <v>3.125E-2</v>
      </c>
      <c r="DF46" s="3">
        <f t="shared" si="25"/>
        <v>1.5625E-2</v>
      </c>
      <c r="DG46" s="3">
        <f t="shared" si="25"/>
        <v>1.5625E-2</v>
      </c>
      <c r="DH46" s="3">
        <f t="shared" si="25"/>
        <v>4.6875E-2</v>
      </c>
      <c r="DI46" s="3">
        <f t="shared" si="25"/>
        <v>3.125E-2</v>
      </c>
      <c r="DJ46" s="3">
        <f t="shared" si="25"/>
        <v>1.5625E-2</v>
      </c>
      <c r="DK46" s="3">
        <f t="shared" si="25"/>
        <v>1.5625E-2</v>
      </c>
      <c r="DL46" s="3">
        <f t="shared" si="25"/>
        <v>1.5625E-2</v>
      </c>
      <c r="DM46" s="3">
        <f t="shared" si="25"/>
        <v>3.125E-2</v>
      </c>
      <c r="DN46" s="3">
        <f t="shared" si="25"/>
        <v>1.5625E-2</v>
      </c>
      <c r="DO46" s="3">
        <f t="shared" si="25"/>
        <v>1.5625E-2</v>
      </c>
      <c r="DP46" s="3">
        <f t="shared" si="25"/>
        <v>1.5625E-2</v>
      </c>
      <c r="DQ46" s="3">
        <f t="shared" si="25"/>
        <v>1.5625E-2</v>
      </c>
      <c r="DR46" s="3">
        <f t="shared" si="25"/>
        <v>1.5625E-2</v>
      </c>
      <c r="DS46" s="2">
        <v>1</v>
      </c>
    </row>
    <row r="47" spans="1:123" x14ac:dyDescent="0.3">
      <c r="A47" s="2">
        <v>66</v>
      </c>
      <c r="B47" s="4">
        <v>11</v>
      </c>
      <c r="C47" s="2">
        <v>38</v>
      </c>
      <c r="E47" s="2" t="s">
        <v>18</v>
      </c>
      <c r="F47" s="2">
        <f>SUM(F4:F46)</f>
        <v>3</v>
      </c>
      <c r="G47" s="2">
        <f t="shared" ref="G47:O47" si="30">SUM(G4:G46)</f>
        <v>4</v>
      </c>
      <c r="H47" s="2">
        <f t="shared" si="30"/>
        <v>4</v>
      </c>
      <c r="I47" s="2">
        <f t="shared" si="30"/>
        <v>2</v>
      </c>
      <c r="J47" s="2">
        <f t="shared" si="30"/>
        <v>2</v>
      </c>
      <c r="K47" s="2">
        <f t="shared" si="30"/>
        <v>3</v>
      </c>
      <c r="L47" s="2">
        <f t="shared" si="30"/>
        <v>5</v>
      </c>
      <c r="M47" s="2">
        <f t="shared" si="30"/>
        <v>4</v>
      </c>
      <c r="N47" s="2">
        <f t="shared" si="30"/>
        <v>3</v>
      </c>
      <c r="O47" s="2">
        <f t="shared" si="30"/>
        <v>2</v>
      </c>
      <c r="P47" s="2">
        <f t="shared" si="1"/>
        <v>32</v>
      </c>
      <c r="S47" s="2" t="s">
        <v>18</v>
      </c>
      <c r="T47" s="2">
        <v>11</v>
      </c>
      <c r="U47" s="2">
        <v>6</v>
      </c>
      <c r="V47" s="2">
        <v>5</v>
      </c>
      <c r="W47" s="2">
        <v>8</v>
      </c>
      <c r="X47" s="2">
        <v>5</v>
      </c>
      <c r="Y47" s="2">
        <v>5</v>
      </c>
      <c r="Z47" s="2">
        <v>4</v>
      </c>
      <c r="AA47" s="2">
        <v>5</v>
      </c>
      <c r="AB47" s="2">
        <v>7</v>
      </c>
      <c r="AC47" s="2">
        <v>8</v>
      </c>
      <c r="AD47" s="2">
        <v>64</v>
      </c>
      <c r="AI47" t="s">
        <v>18</v>
      </c>
      <c r="AJ47" s="2">
        <f>SUM(AJ4:AJ46)</f>
        <v>0</v>
      </c>
      <c r="AK47" s="2">
        <f t="shared" ref="AK47:BH47" si="31">SUM(AK4:AK46)</f>
        <v>0</v>
      </c>
      <c r="AL47" s="2">
        <f t="shared" si="31"/>
        <v>1</v>
      </c>
      <c r="AM47" s="2">
        <f t="shared" si="31"/>
        <v>1</v>
      </c>
      <c r="AN47" s="2">
        <f t="shared" si="31"/>
        <v>2</v>
      </c>
      <c r="AO47" s="2">
        <f t="shared" si="31"/>
        <v>2</v>
      </c>
      <c r="AP47" s="2">
        <f t="shared" si="31"/>
        <v>1</v>
      </c>
      <c r="AQ47" s="2">
        <f t="shared" si="31"/>
        <v>1</v>
      </c>
      <c r="AR47" s="2">
        <f t="shared" si="31"/>
        <v>0</v>
      </c>
      <c r="AS47" s="2">
        <f t="shared" si="31"/>
        <v>1</v>
      </c>
      <c r="AT47" s="2">
        <f t="shared" si="31"/>
        <v>1</v>
      </c>
      <c r="AU47" s="2">
        <f t="shared" si="31"/>
        <v>0</v>
      </c>
      <c r="AV47" s="2">
        <f t="shared" si="31"/>
        <v>2</v>
      </c>
      <c r="AW47" s="2">
        <f t="shared" si="31"/>
        <v>2</v>
      </c>
      <c r="AX47" s="2">
        <f t="shared" si="31"/>
        <v>0</v>
      </c>
      <c r="AY47" s="2">
        <f t="shared" si="31"/>
        <v>1</v>
      </c>
      <c r="AZ47" s="2">
        <f t="shared" si="31"/>
        <v>1</v>
      </c>
      <c r="BA47" s="2">
        <f t="shared" si="31"/>
        <v>1</v>
      </c>
      <c r="BB47" s="2">
        <f t="shared" si="31"/>
        <v>0</v>
      </c>
      <c r="BC47" s="2">
        <f t="shared" si="31"/>
        <v>0</v>
      </c>
      <c r="BD47" s="2">
        <f t="shared" si="31"/>
        <v>0</v>
      </c>
      <c r="BE47" s="2">
        <f t="shared" si="31"/>
        <v>2</v>
      </c>
      <c r="BF47" s="2">
        <f t="shared" si="31"/>
        <v>1</v>
      </c>
      <c r="BG47" s="2">
        <f t="shared" si="31"/>
        <v>1</v>
      </c>
      <c r="BH47" s="2">
        <f t="shared" si="31"/>
        <v>1</v>
      </c>
      <c r="BI47" s="2">
        <f>SUM(BI4:BI46)</f>
        <v>1</v>
      </c>
      <c r="BJ47" s="2">
        <f t="shared" ref="BJ47" si="32">SUM(BJ4:BJ46)</f>
        <v>2</v>
      </c>
      <c r="BK47" s="2">
        <f t="shared" ref="BK47" si="33">SUM(BK4:BK46)</f>
        <v>1</v>
      </c>
      <c r="BL47" s="2">
        <f t="shared" ref="BL47" si="34">SUM(BL4:BL46)</f>
        <v>1</v>
      </c>
      <c r="BM47" s="2">
        <f t="shared" ref="BM47" si="35">SUM(BM4:BM46)</f>
        <v>1</v>
      </c>
      <c r="BN47" s="2">
        <f t="shared" ref="BN47" si="36">SUM(BN4:BN46)</f>
        <v>1</v>
      </c>
      <c r="BO47" s="2">
        <f t="shared" ref="BO47" si="37">SUM(BO4:BO46)</f>
        <v>2</v>
      </c>
      <c r="BP47" s="2">
        <f t="shared" ref="BP47" si="38">SUM(BP4:BP46)</f>
        <v>1</v>
      </c>
      <c r="BQ47" s="2">
        <f t="shared" ref="BQ47" si="39">SUM(BQ4:BQ46)</f>
        <v>1</v>
      </c>
      <c r="BR47" s="2">
        <f t="shared" ref="BR47" si="40">SUM(BR4:BR46)</f>
        <v>0</v>
      </c>
      <c r="BS47" s="2">
        <f t="shared" ref="BS47" si="41">SUM(BS4:BS46)</f>
        <v>1</v>
      </c>
      <c r="BT47" s="2">
        <f t="shared" ref="BT47" si="42">SUM(BT4:BT46)</f>
        <v>0</v>
      </c>
      <c r="BU47" s="2">
        <f t="shared" ref="BU47" si="43">SUM(BU4:BU46)</f>
        <v>1</v>
      </c>
      <c r="BV47" s="2">
        <f>SUM(BV4:BV46)</f>
        <v>1</v>
      </c>
      <c r="BW47" s="2">
        <f t="shared" ref="BW47" si="44">SUM(BW4:BW46)</f>
        <v>0</v>
      </c>
      <c r="BX47" s="2">
        <f t="shared" ref="BX47" si="45">SUM(BX4:BX46)</f>
        <v>1</v>
      </c>
      <c r="BY47" s="2">
        <f t="shared" si="9"/>
        <v>37</v>
      </c>
      <c r="CC47" t="s">
        <v>18</v>
      </c>
      <c r="CD47" s="2">
        <v>1</v>
      </c>
      <c r="CE47" s="2">
        <v>1</v>
      </c>
      <c r="CF47" s="2">
        <v>1</v>
      </c>
      <c r="CG47" s="2">
        <v>2</v>
      </c>
      <c r="CH47" s="2">
        <v>2</v>
      </c>
      <c r="CI47" s="2">
        <v>2</v>
      </c>
      <c r="CJ47" s="2">
        <v>1</v>
      </c>
      <c r="CK47" s="2">
        <v>3</v>
      </c>
      <c r="CL47" s="2">
        <v>1</v>
      </c>
      <c r="CM47" s="2">
        <v>2</v>
      </c>
      <c r="CN47" s="2">
        <v>2</v>
      </c>
      <c r="CO47" s="2">
        <v>1</v>
      </c>
      <c r="CP47" s="2">
        <v>2</v>
      </c>
      <c r="CQ47" s="2">
        <v>2</v>
      </c>
      <c r="CR47" s="2">
        <v>1</v>
      </c>
      <c r="CS47" s="2">
        <v>3</v>
      </c>
      <c r="CT47" s="2">
        <v>2</v>
      </c>
      <c r="CU47" s="2">
        <v>1</v>
      </c>
      <c r="CV47" s="2">
        <v>2</v>
      </c>
      <c r="CW47" s="2">
        <v>1</v>
      </c>
      <c r="CX47" s="2">
        <v>1</v>
      </c>
      <c r="CY47" s="2">
        <v>2</v>
      </c>
      <c r="CZ47" s="2">
        <v>1</v>
      </c>
      <c r="DA47" s="2">
        <v>1</v>
      </c>
      <c r="DB47" s="2">
        <v>3</v>
      </c>
      <c r="DC47" s="2">
        <v>1</v>
      </c>
      <c r="DD47" s="2">
        <v>3</v>
      </c>
      <c r="DE47" s="2">
        <v>2</v>
      </c>
      <c r="DF47" s="2">
        <v>1</v>
      </c>
      <c r="DG47" s="2">
        <v>1</v>
      </c>
      <c r="DH47" s="2">
        <v>3</v>
      </c>
      <c r="DI47" s="2">
        <v>2</v>
      </c>
      <c r="DJ47" s="2">
        <v>1</v>
      </c>
      <c r="DK47" s="2">
        <v>1</v>
      </c>
      <c r="DL47" s="2">
        <v>1</v>
      </c>
      <c r="DM47" s="2">
        <v>2</v>
      </c>
      <c r="DN47" s="2">
        <v>1</v>
      </c>
      <c r="DO47" s="2">
        <v>1</v>
      </c>
      <c r="DP47" s="2">
        <v>1</v>
      </c>
      <c r="DQ47" s="2">
        <v>1</v>
      </c>
      <c r="DR47" s="2">
        <v>1</v>
      </c>
      <c r="DS47" s="2">
        <v>64</v>
      </c>
    </row>
    <row r="48" spans="1:123" x14ac:dyDescent="0.3">
      <c r="A48" s="2">
        <v>90</v>
      </c>
      <c r="B48" s="4">
        <v>3</v>
      </c>
      <c r="C48" s="2">
        <v>80</v>
      </c>
    </row>
    <row r="49" spans="1:3" x14ac:dyDescent="0.3">
      <c r="A49" s="2">
        <v>20</v>
      </c>
      <c r="B49" s="4">
        <v>7</v>
      </c>
      <c r="C49" s="2">
        <v>57</v>
      </c>
    </row>
    <row r="50" spans="1:3" x14ac:dyDescent="0.3">
      <c r="A50" s="2">
        <v>66</v>
      </c>
      <c r="B50" s="4">
        <v>15</v>
      </c>
      <c r="C50" s="2">
        <v>47</v>
      </c>
    </row>
    <row r="51" spans="1:3" x14ac:dyDescent="0.3">
      <c r="A51" s="2">
        <v>43</v>
      </c>
      <c r="B51" s="4">
        <v>15</v>
      </c>
      <c r="C51" s="2">
        <v>71</v>
      </c>
    </row>
    <row r="52" spans="1:3" x14ac:dyDescent="0.3">
      <c r="A52" s="2">
        <v>55</v>
      </c>
      <c r="B52" s="4">
        <v>20</v>
      </c>
      <c r="C52" s="2">
        <v>52</v>
      </c>
    </row>
    <row r="53" spans="1:3" x14ac:dyDescent="0.3">
      <c r="A53" s="2">
        <v>47</v>
      </c>
      <c r="B53" s="4">
        <v>12</v>
      </c>
      <c r="C53" s="2">
        <v>27</v>
      </c>
    </row>
    <row r="54" spans="1:3" x14ac:dyDescent="0.3">
      <c r="A54" s="2">
        <v>61</v>
      </c>
      <c r="B54" s="4">
        <v>5</v>
      </c>
      <c r="C54" s="2">
        <v>25</v>
      </c>
    </row>
    <row r="55" spans="1:3" x14ac:dyDescent="0.3">
      <c r="A55" s="2">
        <v>47</v>
      </c>
      <c r="B55" s="4">
        <v>10</v>
      </c>
      <c r="C55" s="2">
        <v>69</v>
      </c>
    </row>
    <row r="56" spans="1:3" x14ac:dyDescent="0.3">
      <c r="A56" s="2">
        <v>73</v>
      </c>
      <c r="B56" s="4">
        <v>1</v>
      </c>
      <c r="C56" s="2">
        <v>23</v>
      </c>
    </row>
    <row r="57" spans="1:3" x14ac:dyDescent="0.3">
      <c r="A57" s="2">
        <v>50</v>
      </c>
      <c r="B57" s="4">
        <v>4</v>
      </c>
      <c r="C57" s="2">
        <v>21</v>
      </c>
    </row>
    <row r="58" spans="1:3" x14ac:dyDescent="0.3">
      <c r="A58" s="2">
        <v>66</v>
      </c>
      <c r="B58" s="4">
        <v>11</v>
      </c>
      <c r="C58" s="2">
        <v>78</v>
      </c>
    </row>
    <row r="59" spans="1:3" x14ac:dyDescent="0.3">
      <c r="A59" s="2">
        <v>59</v>
      </c>
      <c r="B59" s="4">
        <v>8</v>
      </c>
      <c r="C59" s="2">
        <v>79</v>
      </c>
    </row>
    <row r="60" spans="1:3" x14ac:dyDescent="0.3">
      <c r="A60" s="2">
        <v>80</v>
      </c>
      <c r="B60" s="4">
        <v>16</v>
      </c>
      <c r="C60" s="2">
        <v>52</v>
      </c>
    </row>
    <row r="61" spans="1:3" x14ac:dyDescent="0.3">
      <c r="A61" s="2">
        <v>42</v>
      </c>
      <c r="B61" s="4">
        <v>2</v>
      </c>
      <c r="C61" s="2">
        <v>47</v>
      </c>
    </row>
    <row r="62" spans="1:3" x14ac:dyDescent="0.3">
      <c r="A62" s="2">
        <v>50</v>
      </c>
      <c r="B62" s="4">
        <v>1</v>
      </c>
      <c r="C62" s="2">
        <v>32</v>
      </c>
    </row>
    <row r="63" spans="1:3" x14ac:dyDescent="0.3">
      <c r="A63" s="2">
        <v>87</v>
      </c>
      <c r="B63" s="4">
        <v>2</v>
      </c>
      <c r="C63" s="2">
        <v>32</v>
      </c>
    </row>
    <row r="64" spans="1:3" x14ac:dyDescent="0.3">
      <c r="A64" s="2">
        <v>29</v>
      </c>
      <c r="B64" s="4">
        <v>12</v>
      </c>
      <c r="C64" s="2">
        <v>33</v>
      </c>
    </row>
    <row r="65" spans="1:3" x14ac:dyDescent="0.3">
      <c r="A65" s="2">
        <v>57</v>
      </c>
      <c r="B65" s="4">
        <v>14</v>
      </c>
      <c r="C65" s="2">
        <v>76</v>
      </c>
    </row>
  </sheetData>
  <mergeCells count="8">
    <mergeCell ref="CC2:DQ2"/>
    <mergeCell ref="CB4:CB46"/>
    <mergeCell ref="F2:O2"/>
    <mergeCell ref="D4:D46"/>
    <mergeCell ref="T2:AC2"/>
    <mergeCell ref="R4:R46"/>
    <mergeCell ref="AI2:BW2"/>
    <mergeCell ref="AH4:AH4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DB4C-5C52-4C02-A08F-0ABA6CFC55DB}">
  <sheetPr>
    <tabColor theme="0" tint="-4.9989318521683403E-2"/>
  </sheetPr>
  <dimension ref="A1:Q65"/>
  <sheetViews>
    <sheetView showGridLines="0" topLeftCell="A7" zoomScaleNormal="100" workbookViewId="0">
      <selection activeCell="U14" sqref="U14"/>
    </sheetView>
  </sheetViews>
  <sheetFormatPr defaultRowHeight="14.4" x14ac:dyDescent="0.3"/>
  <cols>
    <col min="17" max="17" width="18.88671875" bestFit="1" customWidth="1"/>
    <col min="21" max="21" width="18.88671875" bestFit="1" customWidth="1"/>
  </cols>
  <sheetData>
    <row r="1" spans="1:17" ht="19.8" thickTop="1" thickBot="1" x14ac:dyDescent="0.5">
      <c r="A1" s="1" t="s">
        <v>26</v>
      </c>
      <c r="B1" s="1" t="s">
        <v>27</v>
      </c>
      <c r="Q1" s="1" t="s">
        <v>25</v>
      </c>
    </row>
    <row r="2" spans="1:17" ht="15" thickTop="1" x14ac:dyDescent="0.3">
      <c r="A2" s="2">
        <v>48</v>
      </c>
      <c r="B2" s="2">
        <v>1</v>
      </c>
      <c r="Q2" s="7">
        <f>_xlfn.FORECAST.LINEAR(160,A2:A65,B2:B65)</f>
        <v>86.23557692307692</v>
      </c>
    </row>
    <row r="3" spans="1:17" x14ac:dyDescent="0.3">
      <c r="A3" s="2">
        <v>31</v>
      </c>
      <c r="B3" s="2">
        <v>2</v>
      </c>
    </row>
    <row r="4" spans="1:17" x14ac:dyDescent="0.3">
      <c r="A4" s="2">
        <v>73</v>
      </c>
      <c r="B4" s="2">
        <v>3</v>
      </c>
    </row>
    <row r="5" spans="1:17" x14ac:dyDescent="0.3">
      <c r="A5" s="2">
        <v>31</v>
      </c>
      <c r="B5" s="2">
        <v>4</v>
      </c>
    </row>
    <row r="6" spans="1:17" x14ac:dyDescent="0.3">
      <c r="A6" s="2">
        <v>55</v>
      </c>
      <c r="B6" s="2">
        <v>5</v>
      </c>
    </row>
    <row r="7" spans="1:17" x14ac:dyDescent="0.3">
      <c r="A7" s="2">
        <v>36</v>
      </c>
      <c r="B7" s="2">
        <v>6</v>
      </c>
    </row>
    <row r="8" spans="1:17" x14ac:dyDescent="0.3">
      <c r="A8" s="2">
        <v>30</v>
      </c>
      <c r="B8" s="2">
        <v>7</v>
      </c>
    </row>
    <row r="9" spans="1:17" x14ac:dyDescent="0.3">
      <c r="A9" s="2">
        <v>31</v>
      </c>
      <c r="B9" s="2">
        <v>8</v>
      </c>
    </row>
    <row r="10" spans="1:17" x14ac:dyDescent="0.3">
      <c r="A10" s="2">
        <v>34</v>
      </c>
      <c r="B10" s="2">
        <v>9</v>
      </c>
    </row>
    <row r="11" spans="1:17" x14ac:dyDescent="0.3">
      <c r="A11" s="2">
        <v>42</v>
      </c>
      <c r="B11" s="2">
        <v>10</v>
      </c>
    </row>
    <row r="12" spans="1:17" x14ac:dyDescent="0.3">
      <c r="A12" s="2">
        <v>43</v>
      </c>
      <c r="B12" s="2">
        <v>11</v>
      </c>
    </row>
    <row r="13" spans="1:17" x14ac:dyDescent="0.3">
      <c r="A13" s="2">
        <v>19</v>
      </c>
      <c r="B13" s="2">
        <v>12</v>
      </c>
    </row>
    <row r="14" spans="1:17" x14ac:dyDescent="0.3">
      <c r="A14" s="2">
        <v>57</v>
      </c>
      <c r="B14" s="2">
        <v>13</v>
      </c>
    </row>
    <row r="15" spans="1:17" x14ac:dyDescent="0.3">
      <c r="A15" s="2">
        <v>48</v>
      </c>
      <c r="B15" s="2">
        <v>14</v>
      </c>
    </row>
    <row r="16" spans="1:17" x14ac:dyDescent="0.3">
      <c r="A16" s="2">
        <v>55</v>
      </c>
      <c r="B16" s="2">
        <v>15</v>
      </c>
    </row>
    <row r="17" spans="1:2" x14ac:dyDescent="0.3">
      <c r="A17" s="2">
        <v>87</v>
      </c>
      <c r="B17" s="2">
        <v>16</v>
      </c>
    </row>
    <row r="18" spans="1:2" x14ac:dyDescent="0.3">
      <c r="A18" s="2">
        <v>55</v>
      </c>
      <c r="B18" s="2">
        <v>17</v>
      </c>
    </row>
    <row r="19" spans="1:2" x14ac:dyDescent="0.3">
      <c r="A19" s="2">
        <v>37</v>
      </c>
      <c r="B19" s="2">
        <v>18</v>
      </c>
    </row>
    <row r="20" spans="1:2" x14ac:dyDescent="0.3">
      <c r="A20" s="2">
        <v>49</v>
      </c>
      <c r="B20" s="2">
        <v>19</v>
      </c>
    </row>
    <row r="21" spans="1:2" x14ac:dyDescent="0.3">
      <c r="A21" s="2">
        <v>55</v>
      </c>
      <c r="B21" s="2">
        <v>20</v>
      </c>
    </row>
    <row r="22" spans="1:2" x14ac:dyDescent="0.3">
      <c r="A22" s="2">
        <v>73</v>
      </c>
      <c r="B22" s="2">
        <v>21</v>
      </c>
    </row>
    <row r="23" spans="1:2" x14ac:dyDescent="0.3">
      <c r="A23" s="2">
        <v>50</v>
      </c>
      <c r="B23" s="2">
        <v>22</v>
      </c>
    </row>
    <row r="24" spans="1:2" x14ac:dyDescent="0.3">
      <c r="A24" s="2">
        <v>38</v>
      </c>
      <c r="B24" s="2">
        <v>23</v>
      </c>
    </row>
    <row r="25" spans="1:2" x14ac:dyDescent="0.3">
      <c r="A25" s="2">
        <v>23</v>
      </c>
      <c r="B25" s="2">
        <v>24</v>
      </c>
    </row>
    <row r="26" spans="1:2" x14ac:dyDescent="0.3">
      <c r="A26" s="2">
        <v>60</v>
      </c>
      <c r="B26" s="2">
        <v>25</v>
      </c>
    </row>
    <row r="27" spans="1:2" x14ac:dyDescent="0.3">
      <c r="A27" s="2">
        <v>48</v>
      </c>
      <c r="B27" s="2">
        <v>26</v>
      </c>
    </row>
    <row r="28" spans="1:2" x14ac:dyDescent="0.3">
      <c r="A28" s="2">
        <v>72</v>
      </c>
      <c r="B28" s="2">
        <v>27</v>
      </c>
    </row>
    <row r="29" spans="1:2" x14ac:dyDescent="0.3">
      <c r="A29" s="2">
        <v>76</v>
      </c>
      <c r="B29" s="2">
        <v>28</v>
      </c>
    </row>
    <row r="30" spans="1:2" x14ac:dyDescent="0.3">
      <c r="A30" s="2">
        <v>67</v>
      </c>
      <c r="B30" s="2">
        <v>29</v>
      </c>
    </row>
    <row r="31" spans="1:2" x14ac:dyDescent="0.3">
      <c r="A31" s="2">
        <v>66</v>
      </c>
      <c r="B31" s="2">
        <v>30</v>
      </c>
    </row>
    <row r="32" spans="1:2" x14ac:dyDescent="0.3">
      <c r="A32" s="2">
        <v>47</v>
      </c>
      <c r="B32" s="2">
        <v>31</v>
      </c>
    </row>
    <row r="33" spans="1:2" x14ac:dyDescent="0.3">
      <c r="A33" s="2">
        <v>61</v>
      </c>
      <c r="B33" s="2">
        <v>32</v>
      </c>
    </row>
    <row r="34" spans="1:2" x14ac:dyDescent="0.3">
      <c r="A34" s="2">
        <v>44</v>
      </c>
      <c r="B34" s="2">
        <v>33</v>
      </c>
    </row>
    <row r="35" spans="1:2" x14ac:dyDescent="0.3">
      <c r="A35" s="2">
        <v>78</v>
      </c>
      <c r="B35" s="2">
        <v>34</v>
      </c>
    </row>
    <row r="36" spans="1:2" x14ac:dyDescent="0.3">
      <c r="A36" s="2">
        <v>45</v>
      </c>
      <c r="B36" s="2">
        <v>35</v>
      </c>
    </row>
    <row r="37" spans="1:2" x14ac:dyDescent="0.3">
      <c r="A37" s="2">
        <v>62</v>
      </c>
      <c r="B37" s="2">
        <v>36</v>
      </c>
    </row>
    <row r="38" spans="1:2" x14ac:dyDescent="0.3">
      <c r="A38" s="2">
        <v>71</v>
      </c>
      <c r="B38" s="2">
        <v>37</v>
      </c>
    </row>
    <row r="39" spans="1:2" x14ac:dyDescent="0.3">
      <c r="A39" s="2">
        <v>44</v>
      </c>
      <c r="B39" s="2">
        <v>38</v>
      </c>
    </row>
    <row r="40" spans="1:2" x14ac:dyDescent="0.3">
      <c r="A40" s="2">
        <v>86</v>
      </c>
      <c r="B40" s="2">
        <v>39</v>
      </c>
    </row>
    <row r="41" spans="1:2" x14ac:dyDescent="0.3">
      <c r="A41" s="2">
        <v>59</v>
      </c>
      <c r="B41" s="2">
        <v>40</v>
      </c>
    </row>
    <row r="42" spans="1:2" x14ac:dyDescent="0.3">
      <c r="A42" s="2">
        <v>59</v>
      </c>
      <c r="B42" s="2">
        <v>41</v>
      </c>
    </row>
    <row r="43" spans="1:2" x14ac:dyDescent="0.3">
      <c r="A43" s="2">
        <v>41</v>
      </c>
      <c r="B43" s="2">
        <v>42</v>
      </c>
    </row>
    <row r="44" spans="1:2" x14ac:dyDescent="0.3">
      <c r="A44" s="2">
        <v>39</v>
      </c>
      <c r="B44" s="2">
        <v>43</v>
      </c>
    </row>
    <row r="45" spans="1:2" x14ac:dyDescent="0.3">
      <c r="A45" s="2">
        <v>61</v>
      </c>
      <c r="B45" s="2">
        <v>44</v>
      </c>
    </row>
    <row r="46" spans="1:2" x14ac:dyDescent="0.3">
      <c r="A46" s="2">
        <v>58</v>
      </c>
      <c r="B46" s="2">
        <v>45</v>
      </c>
    </row>
    <row r="47" spans="1:2" x14ac:dyDescent="0.3">
      <c r="A47" s="2">
        <v>66</v>
      </c>
      <c r="B47" s="2">
        <v>46</v>
      </c>
    </row>
    <row r="48" spans="1:2" x14ac:dyDescent="0.3">
      <c r="A48" s="2">
        <v>90</v>
      </c>
      <c r="B48" s="2">
        <v>47</v>
      </c>
    </row>
    <row r="49" spans="1:2" x14ac:dyDescent="0.3">
      <c r="A49" s="2">
        <v>20</v>
      </c>
      <c r="B49" s="2">
        <v>48</v>
      </c>
    </row>
    <row r="50" spans="1:2" x14ac:dyDescent="0.3">
      <c r="A50" s="2">
        <v>66</v>
      </c>
      <c r="B50" s="2">
        <v>49</v>
      </c>
    </row>
    <row r="51" spans="1:2" x14ac:dyDescent="0.3">
      <c r="A51" s="2">
        <v>43</v>
      </c>
      <c r="B51" s="2">
        <v>50</v>
      </c>
    </row>
    <row r="52" spans="1:2" x14ac:dyDescent="0.3">
      <c r="A52" s="2">
        <v>55</v>
      </c>
      <c r="B52" s="2">
        <v>51</v>
      </c>
    </row>
    <row r="53" spans="1:2" x14ac:dyDescent="0.3">
      <c r="A53" s="2">
        <v>47</v>
      </c>
      <c r="B53" s="2">
        <v>52</v>
      </c>
    </row>
    <row r="54" spans="1:2" x14ac:dyDescent="0.3">
      <c r="A54" s="2">
        <v>61</v>
      </c>
      <c r="B54" s="2">
        <v>53</v>
      </c>
    </row>
    <row r="55" spans="1:2" x14ac:dyDescent="0.3">
      <c r="A55" s="2">
        <v>47</v>
      </c>
      <c r="B55" s="2">
        <v>54</v>
      </c>
    </row>
    <row r="56" spans="1:2" x14ac:dyDescent="0.3">
      <c r="A56" s="2">
        <v>73</v>
      </c>
      <c r="B56" s="2">
        <v>55</v>
      </c>
    </row>
    <row r="57" spans="1:2" x14ac:dyDescent="0.3">
      <c r="A57" s="2">
        <v>50</v>
      </c>
      <c r="B57" s="2">
        <v>56</v>
      </c>
    </row>
    <row r="58" spans="1:2" x14ac:dyDescent="0.3">
      <c r="A58" s="2">
        <v>66</v>
      </c>
      <c r="B58" s="2">
        <v>57</v>
      </c>
    </row>
    <row r="59" spans="1:2" x14ac:dyDescent="0.3">
      <c r="A59" s="2">
        <v>59</v>
      </c>
      <c r="B59" s="2">
        <v>58</v>
      </c>
    </row>
    <row r="60" spans="1:2" x14ac:dyDescent="0.3">
      <c r="A60" s="2">
        <v>80</v>
      </c>
      <c r="B60" s="2">
        <v>59</v>
      </c>
    </row>
    <row r="61" spans="1:2" x14ac:dyDescent="0.3">
      <c r="A61" s="2">
        <v>42</v>
      </c>
      <c r="B61" s="2">
        <v>60</v>
      </c>
    </row>
    <row r="62" spans="1:2" x14ac:dyDescent="0.3">
      <c r="A62" s="2">
        <v>50</v>
      </c>
      <c r="B62" s="2">
        <v>61</v>
      </c>
    </row>
    <row r="63" spans="1:2" x14ac:dyDescent="0.3">
      <c r="A63" s="2">
        <v>87</v>
      </c>
      <c r="B63" s="2">
        <v>62</v>
      </c>
    </row>
    <row r="64" spans="1:2" x14ac:dyDescent="0.3">
      <c r="A64" s="2">
        <v>29</v>
      </c>
      <c r="B64" s="2">
        <v>63</v>
      </c>
    </row>
    <row r="65" spans="1:2" x14ac:dyDescent="0.3">
      <c r="A65" s="2">
        <v>57</v>
      </c>
      <c r="B65" s="2">
        <v>64</v>
      </c>
    </row>
  </sheetData>
  <sortState xmlns:xlrd2="http://schemas.microsoft.com/office/spreadsheetml/2017/richdata2" ref="A2:B251">
    <sortCondition descending="1" ref="A1:A25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Parameters</vt:lpstr>
      <vt:lpstr>Data</vt:lpstr>
      <vt:lpstr>Sample</vt:lpstr>
      <vt:lpstr>Statistical Insight</vt:lpstr>
      <vt:lpstr>(Un)correlated Variables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de bonis</dc:creator>
  <cp:lastModifiedBy>abderahmane lakbuichy</cp:lastModifiedBy>
  <cp:lastPrinted>2025-07-14T16:45:26Z</cp:lastPrinted>
  <dcterms:created xsi:type="dcterms:W3CDTF">2015-06-05T18:17:20Z</dcterms:created>
  <dcterms:modified xsi:type="dcterms:W3CDTF">2025-07-17T11:07:47Z</dcterms:modified>
</cp:coreProperties>
</file>